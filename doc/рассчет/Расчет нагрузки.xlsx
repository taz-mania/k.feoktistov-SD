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feok\k.feoktistov-SD\doc\рассчет\"/>
    </mc:Choice>
  </mc:AlternateContent>
  <xr:revisionPtr revIDLastSave="0" documentId="13_ncr:1_{083FBC0B-766D-427B-A564-B9D39C5EB32A}" xr6:coauthVersionLast="47" xr6:coauthVersionMax="47" xr10:uidLastSave="{00000000-0000-0000-0000-000000000000}"/>
  <bookViews>
    <workbookView xWindow="-120" yWindow="-120" windowWidth="29040" windowHeight="15840" activeTab="7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  <sheet name="Лист1" sheetId="9" state="hidden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1" i="9"/>
  <c r="H33" i="7"/>
  <c r="H32" i="7"/>
  <c r="H31" i="7"/>
  <c r="H30" i="7"/>
  <c r="H29" i="7"/>
  <c r="H28" i="7"/>
  <c r="H26" i="7"/>
  <c r="F41" i="8"/>
  <c r="G41" i="8"/>
  <c r="H41" i="8"/>
  <c r="F40" i="8"/>
  <c r="G40" i="8"/>
  <c r="H40" i="8"/>
  <c r="F39" i="8"/>
  <c r="G39" i="8"/>
  <c r="H39" i="8"/>
  <c r="F38" i="8"/>
  <c r="G38" i="8"/>
  <c r="H38" i="8"/>
  <c r="F37" i="8"/>
  <c r="G37" i="8"/>
  <c r="H37" i="8"/>
  <c r="H36" i="8"/>
  <c r="H35" i="8"/>
  <c r="H34" i="8"/>
  <c r="H33" i="8"/>
  <c r="G36" i="8"/>
  <c r="F36" i="8"/>
  <c r="G35" i="8"/>
  <c r="F35" i="8"/>
  <c r="G34" i="8"/>
  <c r="F34" i="8"/>
  <c r="G33" i="8"/>
  <c r="F33" i="8"/>
  <c r="F32" i="8"/>
  <c r="G32" i="8"/>
  <c r="H32" i="8"/>
  <c r="H31" i="8"/>
  <c r="G31" i="8"/>
  <c r="F31" i="8"/>
  <c r="H30" i="8"/>
  <c r="G30" i="8"/>
  <c r="F30" i="8"/>
  <c r="F29" i="8"/>
  <c r="G29" i="8"/>
  <c r="H29" i="8"/>
  <c r="H28" i="8"/>
  <c r="G28" i="8"/>
  <c r="F28" i="8"/>
  <c r="H27" i="8"/>
  <c r="G27" i="8"/>
  <c r="F27" i="8"/>
  <c r="H26" i="8"/>
  <c r="G26" i="8"/>
  <c r="F26" i="8"/>
  <c r="F25" i="8"/>
  <c r="G25" i="8"/>
  <c r="H25" i="8"/>
  <c r="F24" i="8"/>
  <c r="G24" i="8"/>
  <c r="H24" i="8"/>
  <c r="F23" i="8"/>
  <c r="G23" i="8"/>
  <c r="H23" i="8"/>
  <c r="H22" i="8"/>
  <c r="G22" i="8"/>
  <c r="F22" i="8"/>
  <c r="H21" i="8"/>
  <c r="G21" i="8"/>
  <c r="F21" i="8"/>
  <c r="H20" i="8"/>
  <c r="G20" i="8"/>
  <c r="F20" i="8"/>
  <c r="F19" i="8"/>
  <c r="G19" i="8"/>
  <c r="H19" i="8"/>
  <c r="F18" i="8"/>
  <c r="G18" i="8"/>
  <c r="H18" i="8"/>
  <c r="H17" i="8"/>
  <c r="G17" i="8"/>
  <c r="F17" i="8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4" i="8"/>
  <c r="H7" i="8"/>
  <c r="H9" i="8"/>
  <c r="H10" i="8"/>
  <c r="H12" i="8"/>
  <c r="H13" i="8"/>
  <c r="E6" i="8"/>
  <c r="G6" i="8" s="1"/>
  <c r="E5" i="8"/>
  <c r="H5" i="8" s="1"/>
  <c r="E3" i="8"/>
  <c r="F3" i="8" s="1"/>
  <c r="C7" i="2"/>
  <c r="B7" i="2"/>
  <c r="B5" i="7"/>
  <c r="H5" i="7" s="1"/>
  <c r="C15" i="2"/>
  <c r="B15" i="2"/>
  <c r="C2" i="4"/>
  <c r="B2" i="4"/>
  <c r="B2" i="3"/>
  <c r="C2" i="3"/>
  <c r="C4" i="3" s="1"/>
  <c r="C5" i="3" s="1"/>
  <c r="C9" i="2"/>
  <c r="B9" i="2"/>
  <c r="H8" i="1"/>
  <c r="E8" i="1"/>
  <c r="H3" i="7"/>
  <c r="C11" i="4"/>
  <c r="B11" i="4"/>
  <c r="D10" i="6"/>
  <c r="C10" i="6"/>
  <c r="D8" i="5"/>
  <c r="C8" i="5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E6" i="1"/>
  <c r="D6" i="6"/>
  <c r="C6" i="6"/>
  <c r="D4" i="6"/>
  <c r="D8" i="6" s="1"/>
  <c r="C4" i="6"/>
  <c r="C8" i="6" s="1"/>
  <c r="D10" i="5"/>
  <c r="C10" i="5"/>
  <c r="D6" i="5"/>
  <c r="C6" i="5"/>
  <c r="D4" i="5"/>
  <c r="C4" i="5"/>
  <c r="D3" i="5"/>
  <c r="C3" i="5"/>
  <c r="C9" i="4"/>
  <c r="B9" i="4"/>
  <c r="B7" i="4"/>
  <c r="C4" i="4"/>
  <c r="C7" i="4" s="1"/>
  <c r="B4" i="4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G3" i="8" l="1"/>
  <c r="G5" i="8"/>
  <c r="F6" i="8"/>
  <c r="F5" i="8"/>
  <c r="H3" i="8"/>
  <c r="H6" i="8"/>
  <c r="H2" i="8"/>
  <c r="G2" i="8"/>
  <c r="B4" i="3"/>
  <c r="B5" i="3" s="1"/>
  <c r="C7" i="6"/>
  <c r="D7" i="6"/>
  <c r="G2" i="1"/>
  <c r="D2" i="1"/>
  <c r="D5" i="1"/>
  <c r="G5" i="1"/>
  <c r="D4" i="1"/>
  <c r="G4" i="1"/>
  <c r="G43" i="8" l="1"/>
  <c r="G44" i="8" s="1"/>
  <c r="H43" i="8"/>
  <c r="H44" i="8" s="1"/>
  <c r="F43" i="8"/>
  <c r="F44" i="8" s="1"/>
</calcChain>
</file>

<file path=xl/sharedStrings.xml><?xml version="1.0" encoding="utf-8"?>
<sst xmlns="http://schemas.openxmlformats.org/spreadsheetml/2006/main" count="258" uniqueCount="164">
  <si>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</si>
  <si>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</si>
  <si>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</si>
  <si>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</si>
  <si>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</si>
  <si>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</si>
  <si>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</si>
  <si>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</si>
  <si>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</si>
  <si>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</si>
  <si>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</si>
  <si>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</si>
  <si>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</si>
  <si>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</si>
  <si>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</si>
  <si>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</si>
  <si>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</si>
  <si>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</si>
  <si>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</si>
  <si>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</si>
  <si>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</si>
  <si>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</si>
  <si>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</si>
  <si>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</si>
  <si>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</si>
  <si>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</si>
  <si>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</si>
  <si>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</si>
  <si>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</si>
  <si>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</si>
  <si>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</si>
  <si>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</si>
  <si>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</si>
  <si>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</si>
  <si>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</si>
  <si>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</si>
  <si>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</si>
  <si>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</si>
  <si>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</si>
  <si>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</si>
  <si>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</si>
  <si>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</si>
  <si>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</si>
  <si>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</si>
  <si>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</si>
  <si>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</si>
  <si>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</si>
  <si>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</si>
  <si>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</si>
  <si>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</si>
  <si>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</si>
  <si>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</si>
  <si>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</si>
  <si>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</si>
  <si>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</si>
  <si>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</si>
  <si>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</si>
  <si>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</si>
  <si>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</si>
  <si>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</si>
  <si>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</si>
  <si>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</si>
  <si>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</si>
  <si>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</si>
  <si>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</si>
  <si>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</si>
  <si>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</si>
  <si>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</si>
  <si>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</si>
  <si>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</si>
  <si>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</si>
  <si>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</si>
  <si>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</si>
  <si>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</si>
  <si>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</si>
  <si>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</si>
  <si>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</si>
  <si>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</si>
  <si>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</si>
  <si>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</si>
  <si>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</si>
  <si>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</si>
  <si>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</si>
  <si>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</si>
  <si>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</si>
  <si>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</si>
  <si>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</si>
  <si>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</si>
  <si>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</si>
  <si>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</si>
  <si>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</si>
  <si>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</si>
  <si>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</si>
  <si>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</si>
  <si>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</si>
  <si>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</si>
  <si>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</si>
  <si>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</si>
  <si>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</si>
  <si>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</si>
  <si>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</si>
  <si>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</si>
  <si>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</si>
  <si>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</si>
  <si>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</si>
  <si>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</si>
  <si>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</si>
  <si>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</si>
  <si>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</si>
  <si>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</si>
  <si>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</si>
  <si>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</si>
  <si>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</si>
  <si>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</si>
  <si>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</si>
  <si>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</si>
  <si>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</si>
  <si>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</si>
  <si>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</si>
  <si>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</si>
  <si>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</si>
  <si>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</si>
  <si>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</si>
  <si>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</si>
  <si>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</si>
  <si>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</si>
  <si>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</si>
  <si>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</si>
  <si>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</si>
  <si>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</si>
  <si>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</si>
  <si>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</si>
  <si>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</si>
  <si>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</si>
  <si>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</si>
  <si>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</si>
  <si>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</si>
  <si>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</si>
  <si>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</si>
  <si>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</si>
  <si>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</si>
  <si>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</si>
  <si>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</si>
  <si>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</si>
  <si>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</si>
  <si>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</si>
  <si>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</si>
  <si>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</si>
  <si>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</si>
  <si>
    <t>Гео-индекс, координаты</t>
  </si>
  <si>
    <t>БД резервирования</t>
  </si>
  <si>
    <t>БД реестра схем</t>
  </si>
  <si>
    <t>БД конфликтов</t>
  </si>
  <si>
    <t>БД прогрева кэша</t>
  </si>
  <si>
    <t>Кэш лояльности</t>
  </si>
  <si>
    <t xml:space="preserve">RPS </t>
  </si>
  <si>
    <t>1 инстанс = 2 500 RPS</t>
  </si>
  <si>
    <t>- запись (primary)</t>
  </si>
  <si>
    <t>- чтение (replica)</t>
  </si>
  <si>
    <t>1 инстанс = 1 500 TPS</t>
  </si>
  <si>
    <t>1 инстанс = 500 TPS</t>
  </si>
  <si>
    <t>1 инстанс = 1 000 OPS</t>
  </si>
  <si>
    <t>1 инстанс = 500 OPS</t>
  </si>
  <si>
    <t>1 инстанс = 8 000 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</si>
</sst>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0" xfId="0" applyFont="1" applyAlignment="1">
      <alignment vertical="center"/>
    </xf>
    <xf numFmtId="0" fontId="0" fillId="0" borderId="1" xfId="0" quotePrefix="1" applyBorder="1" applyAlignment="1">
      <alignment horizontal="left" vertical="top"/>
    </xf>
    <xf numFmtId="2" fontId="0" fillId="0" borderId="0" xfId="0" applyNumberFormat="1"/>
    <xf numFmtId="1" fontId="0" fillId="0" borderId="0" xfId="0" applyNumberForma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31" t="s">
        <v>1</v>
      </c>
      <c r="D1" s="31"/>
      <c r="E1" s="31"/>
      <c r="F1" s="31" t="s">
        <v>2</v>
      </c>
      <c r="G1" s="31"/>
      <c r="H1" s="31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31">
        <v>3</v>
      </c>
      <c r="D5" s="31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31">
        <v>400</v>
      </c>
      <c r="D9" s="31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32">
        <v>0.1</v>
      </c>
      <c r="D3" s="33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31">
        <v>200</v>
      </c>
      <c r="D5" s="31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38"/>
  <sheetViews>
    <sheetView topLeftCell="A4" workbookViewId="0">
      <selection activeCell="A31" sqref="A31:XFD31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34" t="s">
        <v>42</v>
      </c>
      <c r="C1" s="34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35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35"/>
      <c r="B11" s="17">
        <v>20</v>
      </c>
      <c r="C11" s="36" t="s">
        <v>56</v>
      </c>
      <c r="D11" s="36"/>
      <c r="E11" s="9"/>
      <c r="F11" s="9"/>
      <c r="G11" s="9"/>
      <c r="H11" s="9"/>
      <c r="I11" s="9"/>
    </row>
    <row r="12" spans="1:9">
      <c r="A12" s="23" t="s">
        <v>115</v>
      </c>
      <c r="B12" s="17">
        <v>50000</v>
      </c>
      <c r="C12" s="24" t="s">
        <v>54</v>
      </c>
      <c r="D12" s="9" t="s">
        <v>130</v>
      </c>
      <c r="E12" s="17">
        <v>5000</v>
      </c>
      <c r="F12" s="9">
        <v>1.5</v>
      </c>
      <c r="G12" s="9" t="s">
        <v>60</v>
      </c>
      <c r="H12" s="19">
        <f t="shared" ref="H12:H30" si="0">B12/E12*F12</f>
        <v>15</v>
      </c>
      <c r="I12" s="9">
        <v>15</v>
      </c>
    </row>
    <row r="13" spans="1:9">
      <c r="A13" s="23" t="s">
        <v>116</v>
      </c>
      <c r="B13" s="17">
        <v>50000</v>
      </c>
      <c r="C13" s="24" t="s">
        <v>54</v>
      </c>
      <c r="D13" s="9" t="s">
        <v>118</v>
      </c>
      <c r="E13" s="17">
        <v>20000</v>
      </c>
      <c r="F13" s="9">
        <v>1.3</v>
      </c>
      <c r="G13" s="9" t="s">
        <v>60</v>
      </c>
      <c r="H13" s="19">
        <f t="shared" si="0"/>
        <v>3.25</v>
      </c>
      <c r="I13" s="9">
        <v>4</v>
      </c>
    </row>
    <row r="14" spans="1:9">
      <c r="A14" s="23" t="s">
        <v>117</v>
      </c>
      <c r="B14" s="17">
        <v>250</v>
      </c>
      <c r="C14" s="24" t="s">
        <v>52</v>
      </c>
      <c r="D14" s="9" t="s">
        <v>119</v>
      </c>
      <c r="E14" s="17">
        <v>200</v>
      </c>
      <c r="F14" s="9">
        <v>1.5</v>
      </c>
      <c r="G14" s="9" t="s">
        <v>60</v>
      </c>
      <c r="H14" s="19">
        <f t="shared" si="0"/>
        <v>1.875</v>
      </c>
      <c r="I14" s="9">
        <v>2</v>
      </c>
    </row>
    <row r="15" spans="1:9">
      <c r="A15" s="23" t="s">
        <v>120</v>
      </c>
      <c r="B15" s="17">
        <v>500</v>
      </c>
      <c r="C15" s="24" t="s">
        <v>54</v>
      </c>
      <c r="D15" s="9" t="s">
        <v>121</v>
      </c>
      <c r="E15" s="17">
        <v>1000</v>
      </c>
      <c r="F15" s="9">
        <v>1.5</v>
      </c>
      <c r="G15" s="9" t="s">
        <v>60</v>
      </c>
      <c r="H15" s="19">
        <f t="shared" si="0"/>
        <v>0.75</v>
      </c>
      <c r="I15" s="9">
        <v>2</v>
      </c>
    </row>
    <row r="16" spans="1:9">
      <c r="A16" s="23" t="s">
        <v>122</v>
      </c>
      <c r="B16" s="17">
        <v>250</v>
      </c>
      <c r="C16" s="24" t="s">
        <v>53</v>
      </c>
      <c r="D16" s="9" t="s">
        <v>124</v>
      </c>
      <c r="E16" s="17">
        <v>100</v>
      </c>
      <c r="F16" s="9">
        <v>1.5</v>
      </c>
      <c r="G16" s="9" t="s">
        <v>60</v>
      </c>
      <c r="H16" s="19">
        <f t="shared" si="0"/>
        <v>3.75</v>
      </c>
      <c r="I16" s="9">
        <v>4</v>
      </c>
    </row>
    <row r="17" spans="1:9">
      <c r="A17" s="23" t="s">
        <v>123</v>
      </c>
      <c r="B17" s="17">
        <v>250</v>
      </c>
      <c r="C17" s="24" t="s">
        <v>53</v>
      </c>
      <c r="D17" s="9" t="s">
        <v>124</v>
      </c>
      <c r="E17" s="17">
        <v>100</v>
      </c>
      <c r="F17" s="9">
        <v>1.5</v>
      </c>
      <c r="G17" s="9" t="s">
        <v>60</v>
      </c>
      <c r="H17" s="19">
        <f t="shared" si="0"/>
        <v>3.75</v>
      </c>
      <c r="I17" s="9">
        <v>4</v>
      </c>
    </row>
    <row r="18" spans="1:9">
      <c r="A18" s="23" t="s">
        <v>125</v>
      </c>
      <c r="B18" s="17">
        <v>10000</v>
      </c>
      <c r="C18" s="24" t="s">
        <v>50</v>
      </c>
      <c r="D18" s="9" t="s">
        <v>126</v>
      </c>
      <c r="E18" s="17">
        <v>2000</v>
      </c>
      <c r="F18" s="9">
        <v>1.5</v>
      </c>
      <c r="G18" s="9" t="s">
        <v>60</v>
      </c>
      <c r="H18" s="19">
        <f t="shared" si="0"/>
        <v>7.5</v>
      </c>
      <c r="I18" s="9">
        <v>8</v>
      </c>
    </row>
    <row r="19" spans="1:9">
      <c r="A19" s="23" t="s">
        <v>127</v>
      </c>
      <c r="B19" s="17">
        <v>5000</v>
      </c>
      <c r="C19" s="24" t="s">
        <v>52</v>
      </c>
      <c r="D19" s="9" t="s">
        <v>121</v>
      </c>
      <c r="E19" s="17">
        <v>1000</v>
      </c>
      <c r="F19" s="9">
        <v>1.5</v>
      </c>
      <c r="G19" s="9" t="s">
        <v>60</v>
      </c>
      <c r="H19" s="19">
        <f t="shared" si="0"/>
        <v>7.5</v>
      </c>
      <c r="I19" s="9">
        <v>8</v>
      </c>
    </row>
    <row r="20" spans="1:9">
      <c r="A20" s="23" t="s">
        <v>128</v>
      </c>
      <c r="B20" s="17">
        <v>10000</v>
      </c>
      <c r="C20" s="24" t="s">
        <v>54</v>
      </c>
      <c r="D20" s="9" t="s">
        <v>129</v>
      </c>
      <c r="E20" s="17">
        <v>2000</v>
      </c>
      <c r="F20" s="9">
        <v>1.5</v>
      </c>
      <c r="G20" s="9" t="s">
        <v>60</v>
      </c>
      <c r="H20" s="19">
        <f t="shared" si="0"/>
        <v>7.5</v>
      </c>
      <c r="I20" s="9">
        <v>8</v>
      </c>
    </row>
    <row r="21" spans="1:9">
      <c r="A21" s="23" t="s">
        <v>132</v>
      </c>
      <c r="B21" s="17">
        <v>1000</v>
      </c>
      <c r="C21" s="24" t="s">
        <v>54</v>
      </c>
      <c r="D21" s="9" t="s">
        <v>129</v>
      </c>
      <c r="E21" s="17">
        <v>2000</v>
      </c>
      <c r="F21" s="9">
        <v>1.5</v>
      </c>
      <c r="G21" s="9" t="s">
        <v>60</v>
      </c>
      <c r="H21" s="19">
        <f t="shared" si="0"/>
        <v>0.75</v>
      </c>
      <c r="I21" s="9">
        <v>2</v>
      </c>
    </row>
    <row r="22" spans="1:9">
      <c r="A22" s="23" t="s">
        <v>133</v>
      </c>
      <c r="B22" s="17">
        <v>100000</v>
      </c>
      <c r="C22" s="24" t="s">
        <v>134</v>
      </c>
      <c r="D22" s="9" t="s">
        <v>135</v>
      </c>
      <c r="E22" s="17">
        <v>50000</v>
      </c>
      <c r="F22" s="9">
        <v>1.5</v>
      </c>
      <c r="G22" s="9" t="s">
        <v>61</v>
      </c>
      <c r="H22" s="19">
        <f t="shared" si="0"/>
        <v>3</v>
      </c>
      <c r="I22" s="9">
        <v>3</v>
      </c>
    </row>
    <row r="23" spans="1:9">
      <c r="A23" s="23" t="s">
        <v>136</v>
      </c>
      <c r="B23" s="17">
        <v>10000</v>
      </c>
      <c r="C23" s="24" t="s">
        <v>54</v>
      </c>
      <c r="D23" s="9" t="s">
        <v>137</v>
      </c>
      <c r="E23" s="17">
        <v>8000</v>
      </c>
      <c r="F23" s="9">
        <v>1.5</v>
      </c>
      <c r="G23" s="9" t="s">
        <v>60</v>
      </c>
      <c r="H23" s="19">
        <f t="shared" si="0"/>
        <v>1.875</v>
      </c>
      <c r="I23" s="9">
        <v>2</v>
      </c>
    </row>
    <row r="24" spans="1:9">
      <c r="A24" s="23" t="s">
        <v>138</v>
      </c>
      <c r="B24" s="17">
        <v>5000</v>
      </c>
      <c r="C24" s="24" t="s">
        <v>52</v>
      </c>
      <c r="D24" s="9" t="s">
        <v>139</v>
      </c>
      <c r="E24" s="17">
        <v>2000</v>
      </c>
      <c r="F24" s="9">
        <v>1.5</v>
      </c>
      <c r="G24" s="9" t="s">
        <v>60</v>
      </c>
      <c r="H24" s="19">
        <f t="shared" si="0"/>
        <v>3.75</v>
      </c>
      <c r="I24" s="9">
        <v>4</v>
      </c>
    </row>
    <row r="25" spans="1:9">
      <c r="A25" s="23" t="s">
        <v>140</v>
      </c>
      <c r="B25" s="17">
        <v>7500</v>
      </c>
      <c r="C25" s="24" t="s">
        <v>54</v>
      </c>
      <c r="D25" s="9" t="s">
        <v>141</v>
      </c>
      <c r="E25" s="17">
        <v>3000</v>
      </c>
      <c r="F25" s="9">
        <v>1.5</v>
      </c>
      <c r="G25" s="9" t="s">
        <v>60</v>
      </c>
      <c r="H25" s="19">
        <f t="shared" si="0"/>
        <v>3.75</v>
      </c>
      <c r="I25" s="9">
        <v>4</v>
      </c>
    </row>
    <row r="26" spans="1:9">
      <c r="A26" s="23" t="s">
        <v>149</v>
      </c>
      <c r="B26" s="17">
        <v>5000</v>
      </c>
      <c r="C26" s="24" t="s">
        <v>155</v>
      </c>
      <c r="D26" s="9" t="s">
        <v>156</v>
      </c>
      <c r="E26" s="17">
        <v>2500</v>
      </c>
      <c r="F26" s="9">
        <v>1.3</v>
      </c>
      <c r="G26" s="9" t="s">
        <v>60</v>
      </c>
      <c r="H26" s="19">
        <f t="shared" si="0"/>
        <v>2.6</v>
      </c>
      <c r="I26" s="9">
        <v>3</v>
      </c>
    </row>
    <row r="27" spans="1:9">
      <c r="A27" s="23" t="s">
        <v>150</v>
      </c>
      <c r="B27" s="17"/>
      <c r="C27" s="24"/>
      <c r="D27" s="9"/>
      <c r="E27" s="17"/>
      <c r="F27" s="9"/>
      <c r="G27" s="9"/>
      <c r="H27" s="19"/>
      <c r="I27" s="9"/>
    </row>
    <row r="28" spans="1:9">
      <c r="A28" s="38" t="s">
        <v>157</v>
      </c>
      <c r="B28" s="17">
        <v>750</v>
      </c>
      <c r="C28" s="24" t="s">
        <v>53</v>
      </c>
      <c r="D28" s="9" t="s">
        <v>159</v>
      </c>
      <c r="E28" s="17">
        <v>1500</v>
      </c>
      <c r="F28" s="9">
        <v>1.5</v>
      </c>
      <c r="G28" s="9" t="s">
        <v>60</v>
      </c>
      <c r="H28" s="19">
        <f t="shared" si="0"/>
        <v>0.75</v>
      </c>
      <c r="I28" s="9">
        <v>1</v>
      </c>
    </row>
    <row r="29" spans="1:9">
      <c r="A29" s="38" t="s">
        <v>158</v>
      </c>
      <c r="B29" s="17">
        <v>1000</v>
      </c>
      <c r="C29" s="24" t="s">
        <v>53</v>
      </c>
      <c r="D29" s="9" t="s">
        <v>160</v>
      </c>
      <c r="E29" s="17">
        <v>500</v>
      </c>
      <c r="F29" s="9">
        <v>1.5</v>
      </c>
      <c r="G29" s="9" t="s">
        <v>60</v>
      </c>
      <c r="H29" s="19">
        <f t="shared" si="0"/>
        <v>3</v>
      </c>
      <c r="I29" s="9">
        <v>3</v>
      </c>
    </row>
    <row r="30" spans="1:9">
      <c r="A30" s="38" t="s">
        <v>151</v>
      </c>
      <c r="B30" s="17">
        <v>500</v>
      </c>
      <c r="C30" s="24" t="s">
        <v>50</v>
      </c>
      <c r="D30" s="9" t="s">
        <v>161</v>
      </c>
      <c r="E30" s="17">
        <v>1000</v>
      </c>
      <c r="F30" s="9">
        <v>1.3</v>
      </c>
      <c r="G30" s="9" t="s">
        <v>60</v>
      </c>
      <c r="H30" s="19">
        <f t="shared" si="0"/>
        <v>0.65</v>
      </c>
      <c r="I30" s="9">
        <v>1</v>
      </c>
    </row>
    <row r="31" spans="1:9">
      <c r="A31" s="38" t="s">
        <v>152</v>
      </c>
      <c r="B31" s="17">
        <v>250</v>
      </c>
      <c r="C31" s="24" t="s">
        <v>52</v>
      </c>
      <c r="D31" s="9" t="s">
        <v>119</v>
      </c>
      <c r="E31" s="17">
        <v>200</v>
      </c>
      <c r="F31" s="9">
        <v>1.5</v>
      </c>
      <c r="G31" s="9" t="s">
        <v>60</v>
      </c>
      <c r="H31" s="19">
        <f t="shared" ref="H31:H33" si="1">B31/E31*F31</f>
        <v>1.875</v>
      </c>
      <c r="I31" s="9">
        <v>3</v>
      </c>
    </row>
    <row r="32" spans="1:9">
      <c r="A32" s="38" t="s">
        <v>153</v>
      </c>
      <c r="B32" s="17">
        <v>1000</v>
      </c>
      <c r="C32" s="24" t="s">
        <v>50</v>
      </c>
      <c r="D32" s="9" t="s">
        <v>162</v>
      </c>
      <c r="E32" s="17">
        <v>500</v>
      </c>
      <c r="F32" s="9">
        <v>1.3</v>
      </c>
      <c r="G32" s="9" t="s">
        <v>60</v>
      </c>
      <c r="H32" s="19">
        <f t="shared" si="1"/>
        <v>2.6</v>
      </c>
      <c r="I32" s="9">
        <v>3</v>
      </c>
    </row>
    <row r="33" spans="1:9">
      <c r="A33" s="38" t="s">
        <v>154</v>
      </c>
      <c r="B33" s="17">
        <v>10000</v>
      </c>
      <c r="C33" s="24" t="s">
        <v>54</v>
      </c>
      <c r="D33" s="9" t="s">
        <v>163</v>
      </c>
      <c r="E33" s="17">
        <v>8000</v>
      </c>
      <c r="F33" s="9">
        <v>1.5</v>
      </c>
      <c r="G33" s="9" t="s">
        <v>60</v>
      </c>
      <c r="H33" s="19">
        <f t="shared" si="1"/>
        <v>1.875</v>
      </c>
      <c r="I33" s="9">
        <v>2</v>
      </c>
    </row>
    <row r="34" spans="1:9">
      <c r="A34" t="s">
        <v>99</v>
      </c>
    </row>
    <row r="35" spans="1:9">
      <c r="A35" t="s">
        <v>100</v>
      </c>
    </row>
    <row r="36" spans="1:9">
      <c r="A36" t="s">
        <v>101</v>
      </c>
    </row>
    <row r="37" spans="1:9">
      <c r="A37" t="s">
        <v>102</v>
      </c>
    </row>
    <row r="38" spans="1:9">
      <c r="A38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47"/>
  <sheetViews>
    <sheetView tabSelected="1" topLeftCell="A10" workbookViewId="0">
      <selection activeCell="A42" sqref="A42:XFD42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25" t="s">
        <v>112</v>
      </c>
      <c r="B11" s="26"/>
      <c r="C11" s="26"/>
      <c r="D11" s="26"/>
      <c r="E11" s="26"/>
      <c r="F11" s="26"/>
      <c r="G11" s="26"/>
      <c r="H11" s="27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28" t="s">
        <v>82</v>
      </c>
      <c r="B14" s="29"/>
      <c r="C14" s="29"/>
      <c r="D14" s="29"/>
      <c r="E14" s="29"/>
      <c r="F14" s="29"/>
      <c r="G14" s="29"/>
      <c r="H14" s="30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 t="shared" ref="G15:G40" si="6">C15*E15</f>
        <v>192</v>
      </c>
      <c r="H15" s="4">
        <f t="shared" ref="H15:H40" si="7"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:F17" si="8">B16*E16</f>
        <v>24</v>
      </c>
      <c r="G16" s="4">
        <f t="shared" si="6"/>
        <v>48</v>
      </c>
      <c r="H16" s="4">
        <f t="shared" si="7"/>
        <v>1.5</v>
      </c>
    </row>
    <row r="17" spans="1:8">
      <c r="A17" s="23" t="s">
        <v>115</v>
      </c>
      <c r="B17" s="4">
        <v>4</v>
      </c>
      <c r="C17" s="4">
        <v>8</v>
      </c>
      <c r="D17" s="4">
        <v>0.2</v>
      </c>
      <c r="E17" s="9">
        <v>15</v>
      </c>
      <c r="F17" s="4">
        <f t="shared" si="8"/>
        <v>60</v>
      </c>
      <c r="G17" s="4">
        <f t="shared" si="6"/>
        <v>120</v>
      </c>
      <c r="H17" s="4">
        <f t="shared" si="7"/>
        <v>3</v>
      </c>
    </row>
    <row r="18" spans="1:8">
      <c r="A18" s="23" t="s">
        <v>116</v>
      </c>
      <c r="B18" s="4">
        <v>2</v>
      </c>
      <c r="C18" s="4">
        <v>4</v>
      </c>
      <c r="D18" s="4">
        <v>0.05</v>
      </c>
      <c r="E18" s="9">
        <v>4</v>
      </c>
      <c r="F18" s="4">
        <f t="shared" ref="F18" si="9">B18*E18</f>
        <v>8</v>
      </c>
      <c r="G18" s="4">
        <f t="shared" si="6"/>
        <v>16</v>
      </c>
      <c r="H18" s="4">
        <f t="shared" si="7"/>
        <v>0.2</v>
      </c>
    </row>
    <row r="19" spans="1:8">
      <c r="A19" s="23" t="s">
        <v>117</v>
      </c>
      <c r="B19" s="4">
        <v>2</v>
      </c>
      <c r="C19" s="4">
        <v>4</v>
      </c>
      <c r="D19" s="4">
        <v>0.05</v>
      </c>
      <c r="E19" s="9">
        <v>2</v>
      </c>
      <c r="F19" s="4">
        <f t="shared" ref="F19:F22" si="10">B19*E19</f>
        <v>4</v>
      </c>
      <c r="G19" s="4">
        <f t="shared" si="6"/>
        <v>8</v>
      </c>
      <c r="H19" s="4">
        <f t="shared" si="7"/>
        <v>0.1</v>
      </c>
    </row>
    <row r="20" spans="1:8">
      <c r="A20" s="23" t="s">
        <v>120</v>
      </c>
      <c r="B20" s="4">
        <v>2</v>
      </c>
      <c r="C20" s="4">
        <v>2</v>
      </c>
      <c r="D20" s="4">
        <v>0.05</v>
      </c>
      <c r="E20" s="9">
        <v>2</v>
      </c>
      <c r="F20" s="4">
        <f t="shared" si="10"/>
        <v>4</v>
      </c>
      <c r="G20" s="4">
        <f t="shared" si="6"/>
        <v>4</v>
      </c>
      <c r="H20" s="4">
        <f t="shared" si="7"/>
        <v>0.1</v>
      </c>
    </row>
    <row r="21" spans="1:8">
      <c r="A21" s="23" t="s">
        <v>122</v>
      </c>
      <c r="B21" s="4">
        <v>2</v>
      </c>
      <c r="C21" s="4">
        <v>4</v>
      </c>
      <c r="D21" s="4">
        <v>0.05</v>
      </c>
      <c r="E21" s="9">
        <v>4</v>
      </c>
      <c r="F21" s="4">
        <f t="shared" si="10"/>
        <v>8</v>
      </c>
      <c r="G21" s="4">
        <f t="shared" si="6"/>
        <v>16</v>
      </c>
      <c r="H21" s="4">
        <f t="shared" si="7"/>
        <v>0.2</v>
      </c>
    </row>
    <row r="22" spans="1:8">
      <c r="A22" s="23" t="s">
        <v>123</v>
      </c>
      <c r="B22" s="4">
        <v>2</v>
      </c>
      <c r="C22" s="4">
        <v>4</v>
      </c>
      <c r="D22" s="4">
        <v>0.05</v>
      </c>
      <c r="E22" s="9">
        <v>4</v>
      </c>
      <c r="F22" s="4">
        <f t="shared" si="10"/>
        <v>8</v>
      </c>
      <c r="G22" s="4">
        <f t="shared" si="6"/>
        <v>16</v>
      </c>
      <c r="H22" s="4">
        <f t="shared" si="7"/>
        <v>0.2</v>
      </c>
    </row>
    <row r="23" spans="1:8">
      <c r="A23" s="23" t="s">
        <v>125</v>
      </c>
      <c r="B23" s="4">
        <v>2</v>
      </c>
      <c r="C23" s="4">
        <v>4</v>
      </c>
      <c r="D23" s="4">
        <v>0.05</v>
      </c>
      <c r="E23" s="9">
        <v>8</v>
      </c>
      <c r="F23" s="4">
        <f t="shared" ref="F23" si="11">B23*E23</f>
        <v>16</v>
      </c>
      <c r="G23" s="4">
        <f t="shared" si="6"/>
        <v>32</v>
      </c>
      <c r="H23" s="4">
        <f t="shared" si="7"/>
        <v>0.4</v>
      </c>
    </row>
    <row r="24" spans="1:8">
      <c r="A24" s="23" t="s">
        <v>127</v>
      </c>
      <c r="B24" s="4">
        <v>2</v>
      </c>
      <c r="C24" s="4">
        <v>4</v>
      </c>
      <c r="D24" s="4">
        <v>0.05</v>
      </c>
      <c r="E24" s="9">
        <v>8</v>
      </c>
      <c r="F24" s="4">
        <f t="shared" ref="F24" si="12">B24*E24</f>
        <v>16</v>
      </c>
      <c r="G24" s="4">
        <f t="shared" si="6"/>
        <v>32</v>
      </c>
      <c r="H24" s="4">
        <f t="shared" si="7"/>
        <v>0.4</v>
      </c>
    </row>
    <row r="25" spans="1:8">
      <c r="A25" s="23" t="s">
        <v>128</v>
      </c>
      <c r="B25" s="4">
        <v>2</v>
      </c>
      <c r="C25" s="4">
        <v>4</v>
      </c>
      <c r="D25" s="4">
        <v>0.05</v>
      </c>
      <c r="E25" s="9">
        <v>8</v>
      </c>
      <c r="F25" s="4">
        <f t="shared" ref="F25:F40" si="13">B25*E25</f>
        <v>16</v>
      </c>
      <c r="G25" s="4">
        <f t="shared" si="6"/>
        <v>32</v>
      </c>
      <c r="H25" s="4">
        <f t="shared" si="7"/>
        <v>0.4</v>
      </c>
    </row>
    <row r="26" spans="1:8">
      <c r="A26" s="23" t="s">
        <v>132</v>
      </c>
      <c r="B26" s="4">
        <v>4</v>
      </c>
      <c r="C26" s="4">
        <v>8</v>
      </c>
      <c r="D26" s="4">
        <v>0.5</v>
      </c>
      <c r="E26" s="9">
        <v>2</v>
      </c>
      <c r="F26" s="4">
        <f t="shared" si="13"/>
        <v>8</v>
      </c>
      <c r="G26" s="4">
        <f t="shared" si="6"/>
        <v>16</v>
      </c>
      <c r="H26" s="4">
        <f t="shared" si="7"/>
        <v>1</v>
      </c>
    </row>
    <row r="27" spans="1:8">
      <c r="A27" s="23" t="s">
        <v>133</v>
      </c>
      <c r="B27" s="4">
        <v>4</v>
      </c>
      <c r="C27" s="4">
        <v>8</v>
      </c>
      <c r="D27" s="4">
        <v>1</v>
      </c>
      <c r="E27" s="9">
        <v>3</v>
      </c>
      <c r="F27" s="4">
        <f t="shared" si="13"/>
        <v>12</v>
      </c>
      <c r="G27" s="4">
        <f t="shared" si="6"/>
        <v>24</v>
      </c>
      <c r="H27" s="4">
        <f t="shared" si="7"/>
        <v>3</v>
      </c>
    </row>
    <row r="28" spans="1:8">
      <c r="A28" s="23" t="s">
        <v>136</v>
      </c>
      <c r="B28" s="4">
        <v>2</v>
      </c>
      <c r="C28" s="4">
        <v>8</v>
      </c>
      <c r="D28" s="4">
        <v>0.2</v>
      </c>
      <c r="E28" s="9">
        <v>2</v>
      </c>
      <c r="F28" s="4">
        <f t="shared" si="13"/>
        <v>4</v>
      </c>
      <c r="G28" s="4">
        <f t="shared" si="6"/>
        <v>16</v>
      </c>
      <c r="H28" s="4">
        <f t="shared" si="7"/>
        <v>0.4</v>
      </c>
    </row>
    <row r="29" spans="1:8">
      <c r="A29" s="23" t="s">
        <v>143</v>
      </c>
      <c r="B29" s="4">
        <v>2</v>
      </c>
      <c r="C29" s="4">
        <v>2</v>
      </c>
      <c r="D29" s="4">
        <v>0.05</v>
      </c>
      <c r="E29" s="9">
        <v>2</v>
      </c>
      <c r="F29" s="4">
        <f t="shared" si="13"/>
        <v>4</v>
      </c>
      <c r="G29" s="4">
        <f t="shared" si="6"/>
        <v>4</v>
      </c>
      <c r="H29" s="4">
        <f t="shared" si="7"/>
        <v>0.1</v>
      </c>
    </row>
    <row r="30" spans="1:8">
      <c r="A30" s="23" t="s">
        <v>138</v>
      </c>
      <c r="B30" s="4">
        <v>2</v>
      </c>
      <c r="C30" s="4">
        <v>4</v>
      </c>
      <c r="D30" s="4">
        <v>0.05</v>
      </c>
      <c r="E30" s="9">
        <v>4</v>
      </c>
      <c r="F30" s="4">
        <f t="shared" si="13"/>
        <v>8</v>
      </c>
      <c r="G30" s="4">
        <f t="shared" si="6"/>
        <v>16</v>
      </c>
      <c r="H30" s="4">
        <f t="shared" si="7"/>
        <v>0.2</v>
      </c>
    </row>
    <row r="31" spans="1:8">
      <c r="A31" s="23" t="s">
        <v>140</v>
      </c>
      <c r="B31" s="4">
        <v>2</v>
      </c>
      <c r="C31" s="4">
        <v>4</v>
      </c>
      <c r="D31" s="4">
        <v>0.05</v>
      </c>
      <c r="E31" s="9">
        <v>4</v>
      </c>
      <c r="F31" s="4">
        <f t="shared" si="13"/>
        <v>8</v>
      </c>
      <c r="G31" s="4">
        <f t="shared" si="6"/>
        <v>16</v>
      </c>
      <c r="H31" s="4">
        <f t="shared" si="7"/>
        <v>0.2</v>
      </c>
    </row>
    <row r="32" spans="1:8">
      <c r="A32" s="5" t="s">
        <v>142</v>
      </c>
      <c r="B32" s="4">
        <v>2</v>
      </c>
      <c r="C32" s="4">
        <v>4</v>
      </c>
      <c r="D32" s="4">
        <v>0.05</v>
      </c>
      <c r="E32" s="4">
        <v>3</v>
      </c>
      <c r="F32" s="4">
        <f t="shared" si="13"/>
        <v>6</v>
      </c>
      <c r="G32" s="4">
        <f t="shared" si="6"/>
        <v>12</v>
      </c>
      <c r="H32" s="4">
        <f t="shared" si="7"/>
        <v>0.15000000000000002</v>
      </c>
    </row>
    <row r="33" spans="1:12">
      <c r="A33" s="5" t="s">
        <v>145</v>
      </c>
      <c r="B33" s="4">
        <v>4</v>
      </c>
      <c r="C33" s="4">
        <v>8</v>
      </c>
      <c r="D33" s="4">
        <v>1</v>
      </c>
      <c r="E33" s="4">
        <v>3</v>
      </c>
      <c r="F33" s="4">
        <f t="shared" si="13"/>
        <v>12</v>
      </c>
      <c r="G33" s="4">
        <f t="shared" si="6"/>
        <v>24</v>
      </c>
      <c r="H33" s="4">
        <f t="shared" si="7"/>
        <v>3</v>
      </c>
    </row>
    <row r="34" spans="1:12">
      <c r="A34" s="5" t="s">
        <v>146</v>
      </c>
      <c r="B34" s="4">
        <v>4</v>
      </c>
      <c r="C34" s="4">
        <v>16</v>
      </c>
      <c r="D34" s="4">
        <v>2</v>
      </c>
      <c r="E34" s="4">
        <v>3</v>
      </c>
      <c r="F34" s="4">
        <f t="shared" si="13"/>
        <v>12</v>
      </c>
      <c r="G34" s="4">
        <f t="shared" si="6"/>
        <v>48</v>
      </c>
      <c r="H34" s="4">
        <f t="shared" si="7"/>
        <v>6</v>
      </c>
    </row>
    <row r="35" spans="1:12">
      <c r="A35" s="5" t="s">
        <v>147</v>
      </c>
      <c r="B35" s="4">
        <v>4</v>
      </c>
      <c r="C35" s="4">
        <v>8</v>
      </c>
      <c r="D35" s="4">
        <v>1</v>
      </c>
      <c r="E35" s="4">
        <v>3</v>
      </c>
      <c r="F35" s="4">
        <f t="shared" si="13"/>
        <v>12</v>
      </c>
      <c r="G35" s="4">
        <f t="shared" si="6"/>
        <v>24</v>
      </c>
      <c r="H35" s="4">
        <f t="shared" si="7"/>
        <v>3</v>
      </c>
    </row>
    <row r="36" spans="1:12">
      <c r="A36" s="5" t="s">
        <v>148</v>
      </c>
      <c r="B36" s="4">
        <v>2</v>
      </c>
      <c r="C36" s="4">
        <v>2</v>
      </c>
      <c r="D36" s="4">
        <v>0.05</v>
      </c>
      <c r="E36" s="4">
        <v>2</v>
      </c>
      <c r="F36" s="4">
        <f t="shared" si="13"/>
        <v>4</v>
      </c>
      <c r="G36" s="4">
        <f t="shared" si="6"/>
        <v>4</v>
      </c>
      <c r="H36" s="4">
        <f t="shared" si="7"/>
        <v>0.1</v>
      </c>
    </row>
    <row r="37" spans="1:12">
      <c r="A37" s="5" t="s">
        <v>149</v>
      </c>
      <c r="B37" s="4">
        <v>4</v>
      </c>
      <c r="C37" s="4">
        <v>8</v>
      </c>
      <c r="D37" s="4">
        <v>0.2</v>
      </c>
      <c r="E37" s="4">
        <v>3</v>
      </c>
      <c r="F37" s="4">
        <f t="shared" si="13"/>
        <v>12</v>
      </c>
      <c r="G37" s="4">
        <f t="shared" si="6"/>
        <v>24</v>
      </c>
      <c r="H37" s="4">
        <f t="shared" si="7"/>
        <v>0.60000000000000009</v>
      </c>
    </row>
    <row r="38" spans="1:12">
      <c r="A38" s="5" t="s">
        <v>150</v>
      </c>
      <c r="B38" s="4">
        <v>8</v>
      </c>
      <c r="C38" s="4">
        <v>32</v>
      </c>
      <c r="D38" s="4">
        <v>1</v>
      </c>
      <c r="E38" s="4">
        <v>4</v>
      </c>
      <c r="F38" s="4">
        <f t="shared" si="13"/>
        <v>32</v>
      </c>
      <c r="G38" s="4">
        <f t="shared" si="6"/>
        <v>128</v>
      </c>
      <c r="H38" s="4">
        <f t="shared" si="7"/>
        <v>4</v>
      </c>
    </row>
    <row r="39" spans="1:12">
      <c r="A39" s="5" t="s">
        <v>151</v>
      </c>
      <c r="B39" s="4">
        <v>2</v>
      </c>
      <c r="C39" s="4">
        <v>4</v>
      </c>
      <c r="D39" s="4">
        <v>0.1</v>
      </c>
      <c r="E39" s="4">
        <v>3</v>
      </c>
      <c r="F39" s="4">
        <f t="shared" si="13"/>
        <v>6</v>
      </c>
      <c r="G39" s="4">
        <f t="shared" si="6"/>
        <v>12</v>
      </c>
      <c r="H39" s="4">
        <f t="shared" si="7"/>
        <v>0.30000000000000004</v>
      </c>
    </row>
    <row r="40" spans="1:12">
      <c r="A40" s="5" t="s">
        <v>152</v>
      </c>
      <c r="B40" s="4">
        <v>4</v>
      </c>
      <c r="C40" s="4">
        <v>8</v>
      </c>
      <c r="D40" s="4">
        <v>0.5</v>
      </c>
      <c r="E40" s="4">
        <v>3</v>
      </c>
      <c r="F40" s="4">
        <f t="shared" si="13"/>
        <v>12</v>
      </c>
      <c r="G40" s="4">
        <f t="shared" si="6"/>
        <v>24</v>
      </c>
      <c r="H40" s="4">
        <f t="shared" si="7"/>
        <v>1.5</v>
      </c>
    </row>
    <row r="41" spans="1:12">
      <c r="A41" s="5" t="s">
        <v>153</v>
      </c>
      <c r="B41" s="4">
        <v>4</v>
      </c>
      <c r="C41" s="4">
        <v>8</v>
      </c>
      <c r="D41" s="4">
        <v>0.5</v>
      </c>
      <c r="E41" s="4">
        <v>3</v>
      </c>
      <c r="F41" s="4">
        <f t="shared" ref="F41" si="14">B41*E41</f>
        <v>12</v>
      </c>
      <c r="G41" s="4">
        <f t="shared" ref="G41" si="15">C41*E41</f>
        <v>24</v>
      </c>
      <c r="H41" s="4">
        <f t="shared" ref="H41" si="16">D41*E41</f>
        <v>1.5</v>
      </c>
    </row>
    <row r="42" spans="1:12">
      <c r="A42" s="5"/>
      <c r="B42" s="4"/>
      <c r="C42" s="4"/>
      <c r="D42" s="4"/>
      <c r="E42" s="4"/>
      <c r="F42" s="4"/>
      <c r="G42" s="4"/>
      <c r="H42" s="4"/>
    </row>
    <row r="43" spans="1:12">
      <c r="A43" s="4" t="s">
        <v>73</v>
      </c>
      <c r="B43" s="5" t="s">
        <v>111</v>
      </c>
      <c r="C43" s="5" t="s">
        <v>111</v>
      </c>
      <c r="D43" s="5" t="s">
        <v>111</v>
      </c>
      <c r="E43" s="5" t="s">
        <v>111</v>
      </c>
      <c r="F43" s="4">
        <f>SUM(F2:F42)</f>
        <v>670</v>
      </c>
      <c r="G43" s="4">
        <f>SUM(G2:G42)</f>
        <v>2144</v>
      </c>
      <c r="H43" s="6">
        <f>ROUNDUP(SUM(H2:H42),0)</f>
        <v>72</v>
      </c>
    </row>
    <row r="44" spans="1:12">
      <c r="A44" s="4" t="s">
        <v>74</v>
      </c>
      <c r="B44" s="5" t="s">
        <v>111</v>
      </c>
      <c r="C44" s="5" t="s">
        <v>111</v>
      </c>
      <c r="D44" s="5" t="s">
        <v>111</v>
      </c>
      <c r="E44" s="5" t="s">
        <v>111</v>
      </c>
      <c r="F44" s="4">
        <f>ROUNDUP(F43*1.3,0)</f>
        <v>871</v>
      </c>
      <c r="G44" s="4">
        <f>ROUNDUP(G43*1.3,0)</f>
        <v>2788</v>
      </c>
      <c r="H44" s="4">
        <f>ROUNDUP(H43*1.3,0)</f>
        <v>94</v>
      </c>
    </row>
    <row r="47" spans="1:12" ht="16.5">
      <c r="A47" s="37"/>
      <c r="L47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E402-42AA-4043-8BC8-17CD8529E993}">
  <dimension ref="A1:B7"/>
  <sheetViews>
    <sheetView workbookViewId="0">
      <selection activeCell="B1" sqref="B1:B7"/>
    </sheetView>
  </sheetViews>
  <sheetFormatPr defaultRowHeight="15"/>
  <sheetData>
    <row r="1" spans="1:2">
      <c r="A1" s="39">
        <v>43.9</v>
      </c>
      <c r="B1" s="40">
        <f>A1*2</f>
        <v>87.8</v>
      </c>
    </row>
    <row r="2" spans="1:2">
      <c r="A2">
        <v>42.44</v>
      </c>
      <c r="B2" s="40">
        <f t="shared" ref="B2:B7" si="0">A2*2</f>
        <v>84.88</v>
      </c>
    </row>
    <row r="3" spans="1:2">
      <c r="A3">
        <v>40.340000000000003</v>
      </c>
      <c r="B3" s="40">
        <f t="shared" si="0"/>
        <v>80.680000000000007</v>
      </c>
    </row>
    <row r="4" spans="1:2">
      <c r="A4">
        <v>37.450000000000003</v>
      </c>
      <c r="B4" s="40">
        <f t="shared" si="0"/>
        <v>74.900000000000006</v>
      </c>
    </row>
    <row r="5" spans="1:2">
      <c r="A5">
        <v>33.56</v>
      </c>
      <c r="B5" s="40">
        <f t="shared" si="0"/>
        <v>67.12</v>
      </c>
    </row>
    <row r="6" spans="1:2">
      <c r="A6">
        <v>28.32</v>
      </c>
      <c r="B6" s="40">
        <f t="shared" si="0"/>
        <v>56.64</v>
      </c>
    </row>
    <row r="7" spans="1:2">
      <c r="A7">
        <v>20.68</v>
      </c>
      <c r="B7" s="40">
        <f t="shared" si="0"/>
        <v>41.36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Константин Феоктистов</cp:lastModifiedBy>
  <dcterms:created xsi:type="dcterms:W3CDTF">2026-04-12T14:53:53Z</dcterms:created>
  <dcterms:modified xsi:type="dcterms:W3CDTF">2026-04-27T20:58:04Z</dcterms:modified>
</cp:coreProperties>
</file>