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feok\Documents\УЧЕБА\System Design 2\"/>
    </mc:Choice>
  </mc:AlternateContent>
  <xr:revisionPtr revIDLastSave="0" documentId="13_ncr:1_{A82D9D0A-E9EB-438D-9C48-4F6E87DB755D}" xr6:coauthVersionLast="47" xr6:coauthVersionMax="47" xr10:uidLastSave="{00000000-0000-0000-0000-000000000000}"/>
  <bookViews>
    <workbookView xWindow="-120" yWindow="-120" windowWidth="29040" windowHeight="15840" activeTab="1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B11" i="2"/>
  <c r="C12" i="2"/>
  <c r="B12" i="2"/>
  <c r="H20" i="8"/>
  <c r="H21" i="8"/>
  <c r="F16" i="8"/>
  <c r="G16" i="8"/>
  <c r="H16" i="8"/>
  <c r="H15" i="8"/>
  <c r="G15" i="8"/>
  <c r="F15" i="8"/>
  <c r="F13" i="8"/>
  <c r="G13" i="8"/>
  <c r="G12" i="8"/>
  <c r="F12" i="8"/>
  <c r="F10" i="8"/>
  <c r="F9" i="8"/>
  <c r="F3" i="8"/>
  <c r="F4" i="8"/>
  <c r="F5" i="8"/>
  <c r="F6" i="8"/>
  <c r="F7" i="8"/>
  <c r="F2" i="8"/>
  <c r="G7" i="8"/>
  <c r="G6" i="8"/>
  <c r="G5" i="8"/>
  <c r="G4" i="8"/>
  <c r="G3" i="8"/>
  <c r="G2" i="8"/>
  <c r="G10" i="8"/>
  <c r="G9" i="8"/>
  <c r="E20" i="8"/>
  <c r="H9" i="7"/>
  <c r="H8" i="7"/>
  <c r="H7" i="7"/>
  <c r="I2" i="7"/>
  <c r="H5" i="7"/>
  <c r="H3" i="7"/>
  <c r="H2" i="7"/>
  <c r="H6" i="1"/>
  <c r="E6" i="1"/>
  <c r="D7" i="6"/>
  <c r="C7" i="6"/>
  <c r="D6" i="6"/>
  <c r="C6" i="6"/>
  <c r="D4" i="6"/>
  <c r="D8" i="6" s="1"/>
  <c r="C4" i="6"/>
  <c r="C8" i="6" s="1"/>
  <c r="D8" i="5"/>
  <c r="C8" i="5"/>
  <c r="D6" i="5"/>
  <c r="C6" i="5"/>
  <c r="D4" i="5"/>
  <c r="C4" i="5"/>
  <c r="D3" i="5"/>
  <c r="C3" i="5"/>
  <c r="C9" i="4"/>
  <c r="B9" i="4"/>
  <c r="C7" i="4"/>
  <c r="B7" i="4"/>
  <c r="C4" i="4"/>
  <c r="B4" i="4"/>
  <c r="C6" i="3"/>
  <c r="B6" i="3"/>
  <c r="C4" i="3"/>
  <c r="C5" i="3" s="1"/>
  <c r="B4" i="3"/>
  <c r="B5" i="3" s="1"/>
  <c r="C4" i="2"/>
  <c r="B4" i="2"/>
  <c r="H5" i="1"/>
  <c r="E5" i="1"/>
  <c r="H3" i="1"/>
  <c r="H4" i="1"/>
  <c r="H2" i="1"/>
  <c r="E3" i="1"/>
  <c r="E4" i="1"/>
  <c r="E2" i="1"/>
  <c r="F6" i="1"/>
  <c r="G3" i="1" s="1"/>
  <c r="C6" i="1"/>
  <c r="D3" i="1" s="1"/>
  <c r="F20" i="8" l="1"/>
  <c r="F21" i="8" s="1"/>
  <c r="G20" i="8"/>
  <c r="G21" i="8" s="1"/>
  <c r="G2" i="1"/>
  <c r="D2" i="1"/>
  <c r="D5" i="1"/>
  <c r="G5" i="1"/>
  <c r="D4" i="1"/>
  <c r="G4" i="1"/>
</calcChain>
</file>

<file path=xl/sharedStrings.xml><?xml version="1.0" encoding="utf-8"?>
<sst xmlns="http://schemas.openxmlformats.org/spreadsheetml/2006/main" count="129" uniqueCount="105">
  <si>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</si>
  <si>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</si>
  <si>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</si>
  <si>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</si>
  <si>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</si>
  <si>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</si>
  <si>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</si>
  <si>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</si>
  <si>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</si>
  <si>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</si>
  <si>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Операции чтения (GET), RPS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</si>
  <si>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</si>
  <si>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</si>
  <si>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</si>
  <si>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</si>
  <si>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</si>
  <si>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</si>
  <si>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</si>
  <si>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</si>
  <si>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</si>
  <si>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</si>
  <si>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</si>
  <si>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</si>
  <si>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</si>
  <si>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</si>
  <si>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Требование к IOPS (write)</t>
  </si>
  <si>
    <t>Скорость поступления сообщений в систему (inventory.events), msg/s</t>
  </si>
  <si>
    <t>Коэффициент репликации</t>
  </si>
  <si>
    <t>Фактическая запись на диски, msg/s</t>
  </si>
  <si>
    <t>Суммарная скорость чтения (всех consumer-групп), msg/s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</si>
  <si>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</si>
  <si>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</si>
  <si>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</si>
  <si>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</si>
  <si>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</si>
  <si>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</si>
  <si>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</si>
  <si>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</si>
  <si>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</si>
  <si>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</si>
  <si>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</si>
  <si>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</si>
  <si>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</si>
  <si>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</si>
  <si>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</si>
  <si>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</si>
  <si>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</si>
  <si>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</si>
  <si>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</si>
  <si>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</si>
  <si>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</si>
  <si>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</si>
  <si>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</si>
  <si>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</si>
  <si>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</si>
  <si>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1 instance = ~1 000 RPS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</si>
  <si>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</si>
  <si>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</si>
  <si>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</si>
  <si>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</si>
  <si>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</si>
  <si>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</si>
  <si>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</si>
  <si>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</si>
  <si>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</si>
  <si>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</si>
  <si>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</si>
  <si>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</si>
  <si>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</si>
  <si>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t>10-12</t>
  </si>
  <si>
    <r>
      <t>Распределенный кеш</t>
    </r>
    <r>
      <rPr>
        <sz val="11"/>
        <rFont val="Calibri"/>
        <family val="2"/>
        <charset val="204"/>
        <scheme val="minor"/>
      </rPr>
      <t> (Redis)</t>
    </r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</si>
  <si>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</si>
  <si>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</si>
  <si>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</si>
  <si>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</si>
  <si>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</si>
  <si>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3–5</t>
  </si>
  <si>
    <t>7–8</t>
  </si>
  <si>
    <t>9-10</t>
  </si>
  <si>
    <t>Компонент</t>
  </si>
  <si>
    <t>CPU (cores)</t>
  </si>
  <si>
    <t>RAM (GB)</t>
  </si>
  <si>
    <t>Итого CPU</t>
  </si>
  <si>
    <t>Итого RAM</t>
  </si>
  <si>
    <t>Итого</t>
  </si>
  <si>
    <t>—</t>
  </si>
  <si>
    <t>Запас (+30%)</t>
  </si>
  <si>
    <t>Инстансы</t>
  </si>
  <si>
    <t>Сервис запросов</t>
  </si>
  <si>
    <t>Сервис резерва</t>
  </si>
  <si>
    <t>Сервис комманд</t>
  </si>
  <si>
    <t>Адаптеры (POS/WMS/OMS)</t>
  </si>
  <si>
    <t>Распределенный кеш</t>
  </si>
  <si>
    <t>- мастер-ноды</t>
  </si>
  <si>
    <t>- реплики</t>
  </si>
  <si>
    <t>PostgreSQL Хранилища событий</t>
  </si>
  <si>
    <t>- мастер</t>
  </si>
  <si>
    <t>Kafka</t>
  </si>
  <si>
    <t>SSD (TB)</t>
  </si>
  <si>
    <t>Итого SSD</t>
  </si>
  <si>
    <t>- брокеры</t>
  </si>
  <si>
    <t>Хранилище модели чтения (MongoDB)</t>
  </si>
  <si>
    <t>Оценка write IOPS (верхняя граница)</t>
  </si>
  <si>
    <t>Требование к задержке fsync</t>
  </si>
  <si>
    <t xml:space="preserve">Коэффициент hot SKU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</si>
</sst>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8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164" fontId="0" fillId="0" borderId="0" xfId="2" applyNumberFormat="1" applyFont="1"/>
    <xf numFmtId="165" fontId="0" fillId="0" borderId="0" xfId="1" applyNumberFormat="1" applyFont="1"/>
    <xf numFmtId="166" fontId="0" fillId="0" borderId="0" xfId="0" applyNumberFormat="1"/>
    <xf numFmtId="3" fontId="0" fillId="0" borderId="0" xfId="0" applyNumberFormat="1"/>
    <xf numFmtId="0" fontId="4" fillId="0" borderId="0" xfId="0" applyFont="1"/>
    <xf numFmtId="167" fontId="0" fillId="0" borderId="0" xfId="0" applyNumberFormat="1"/>
    <xf numFmtId="0" fontId="0" fillId="0" borderId="0" xfId="0" applyAlignment="1">
      <alignment wrapText="1"/>
    </xf>
    <xf numFmtId="168" fontId="0" fillId="0" borderId="0" xfId="0" applyNumberFormat="1"/>
    <xf numFmtId="0" fontId="5" fillId="0" borderId="0" xfId="0" applyFont="1" applyAlignment="1">
      <alignment vertical="center"/>
    </xf>
    <xf numFmtId="165" fontId="0" fillId="0" borderId="0" xfId="0" applyNumberFormat="1"/>
    <xf numFmtId="165" fontId="0" fillId="0" borderId="1" xfId="1" applyNumberFormat="1" applyFont="1" applyBorder="1"/>
    <xf numFmtId="165" fontId="0" fillId="0" borderId="2" xfId="1" applyNumberFormat="1" applyFont="1" applyBorder="1"/>
    <xf numFmtId="0" fontId="4" fillId="0" borderId="0" xfId="0" applyFont="1" applyAlignment="1">
      <alignment wrapText="1"/>
    </xf>
    <xf numFmtId="165" fontId="4" fillId="0" borderId="0" xfId="1" applyNumberFormat="1" applyFont="1" applyBorder="1"/>
    <xf numFmtId="169" fontId="4" fillId="0" borderId="0" xfId="1" applyNumberFormat="1" applyFont="1" applyBorder="1"/>
    <xf numFmtId="2" fontId="4" fillId="0" borderId="0" xfId="0" applyNumberFormat="1" applyFont="1"/>
    <xf numFmtId="0" fontId="4" fillId="0" borderId="0" xfId="0" quotePrefix="1" applyFont="1" applyAlignment="1">
      <alignment horizontal="right"/>
    </xf>
    <xf numFmtId="0" fontId="4" fillId="0" borderId="0" xfId="0" applyFont="1" applyAlignment="1">
      <alignment horizontal="right"/>
    </xf>
    <xf numFmtId="0" fontId="7" fillId="0" borderId="0" xfId="0" applyFont="1" applyAlignment="1">
      <alignment wrapText="1"/>
    </xf>
    <xf numFmtId="0" fontId="0" fillId="0" borderId="0" xfId="0" quotePrefix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E4" sqref="E4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t="s">
        <v>0</v>
      </c>
      <c r="C1" s="21" t="s">
        <v>1</v>
      </c>
      <c r="D1" s="21"/>
      <c r="E1" s="21"/>
      <c r="F1" s="21" t="s">
        <v>2</v>
      </c>
      <c r="G1" s="21"/>
      <c r="H1" s="21"/>
    </row>
    <row r="2" spans="1:8">
      <c r="A2" t="s">
        <v>7</v>
      </c>
      <c r="B2">
        <v>0.1</v>
      </c>
      <c r="C2" s="2">
        <v>80000</v>
      </c>
      <c r="D2" s="1">
        <f>C2/C$6</f>
        <v>0.95408467501490757</v>
      </c>
      <c r="E2" s="2">
        <f>C2*B2</f>
        <v>8000</v>
      </c>
      <c r="F2" s="2">
        <v>400000</v>
      </c>
      <c r="G2" s="1">
        <f>F2/F$6</f>
        <v>0.95923261390887293</v>
      </c>
      <c r="H2" s="2">
        <f>F2*B2</f>
        <v>40000</v>
      </c>
    </row>
    <row r="3" spans="1:8">
      <c r="A3" t="s">
        <v>6</v>
      </c>
      <c r="B3">
        <v>2</v>
      </c>
      <c r="C3" s="2">
        <v>750</v>
      </c>
      <c r="D3" s="1">
        <f t="shared" ref="D3:D5" si="0">C3/C$6</f>
        <v>8.9445438282647581E-3</v>
      </c>
      <c r="E3" s="2">
        <f t="shared" ref="E3:E4" si="1">C3*B3</f>
        <v>1500</v>
      </c>
      <c r="F3" s="2">
        <v>4000</v>
      </c>
      <c r="G3" s="1">
        <f t="shared" ref="G3:G5" si="2">F3/F$6</f>
        <v>9.5923261390887284E-3</v>
      </c>
      <c r="H3" s="2">
        <f t="shared" ref="H3:H4" si="3">F3*B3</f>
        <v>8000</v>
      </c>
    </row>
    <row r="4" spans="1:8" ht="15.75" thickBot="1">
      <c r="A4" t="s">
        <v>5</v>
      </c>
      <c r="B4">
        <v>0.2</v>
      </c>
      <c r="C4" s="2">
        <v>2500</v>
      </c>
      <c r="D4" s="1">
        <f t="shared" si="0"/>
        <v>2.9815146094215862E-2</v>
      </c>
      <c r="E4" s="2">
        <f t="shared" si="1"/>
        <v>500</v>
      </c>
      <c r="F4" s="2">
        <v>10000</v>
      </c>
      <c r="G4" s="1">
        <f t="shared" si="2"/>
        <v>2.3980815347721823E-2</v>
      </c>
      <c r="H4" s="2">
        <f t="shared" si="3"/>
        <v>2000</v>
      </c>
    </row>
    <row r="5" spans="1:8">
      <c r="A5" t="s">
        <v>4</v>
      </c>
      <c r="B5">
        <v>6</v>
      </c>
      <c r="C5" s="2">
        <v>600</v>
      </c>
      <c r="D5" s="1">
        <f t="shared" si="0"/>
        <v>7.1556350626118068E-3</v>
      </c>
      <c r="E5" s="11">
        <f>C5/B5</f>
        <v>100</v>
      </c>
      <c r="F5" s="2">
        <v>3000</v>
      </c>
      <c r="G5" s="1">
        <f t="shared" si="2"/>
        <v>7.1942446043165471E-3</v>
      </c>
      <c r="H5" s="11">
        <f>F5/B5</f>
        <v>500</v>
      </c>
    </row>
    <row r="6" spans="1:8" ht="15.75" thickBot="1">
      <c r="A6" t="s">
        <v>3</v>
      </c>
      <c r="C6" s="2">
        <f>SUM(C2:C5)</f>
        <v>83850</v>
      </c>
      <c r="E6" s="12">
        <f>SUM(E2:E4)</f>
        <v>10000</v>
      </c>
      <c r="F6" s="2">
        <f>SUM(F2:F5)</f>
        <v>417000</v>
      </c>
      <c r="H6" s="12">
        <f>SUM(H2:H4)</f>
        <v>50000</v>
      </c>
    </row>
    <row r="7" spans="1:8">
      <c r="E7" s="10"/>
      <c r="H7" s="10"/>
    </row>
    <row r="16" spans="1:8">
      <c r="E16" s="3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2"/>
  <sheetViews>
    <sheetView tabSelected="1" workbookViewId="0">
      <selection activeCell="G14" sqref="G14"/>
    </sheetView>
  </sheetViews>
  <sheetFormatPr defaultRowHeight="15"/>
  <cols>
    <col min="1" max="1" width="40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7" t="s">
        <v>19</v>
      </c>
      <c r="C1" s="7" t="s">
        <v>20</v>
      </c>
    </row>
    <row r="2" spans="1:3">
      <c r="A2" s="5" t="s">
        <v>16</v>
      </c>
      <c r="B2" s="4">
        <v>10000</v>
      </c>
      <c r="C2" s="4">
        <v>50000</v>
      </c>
    </row>
    <row r="3" spans="1:3">
      <c r="A3" t="s">
        <v>9</v>
      </c>
      <c r="B3">
        <v>0.85</v>
      </c>
      <c r="C3">
        <v>0.85</v>
      </c>
    </row>
    <row r="4" spans="1:3">
      <c r="A4" t="s">
        <v>10</v>
      </c>
      <c r="B4" s="4">
        <f>B2*B3</f>
        <v>8500</v>
      </c>
      <c r="C4" s="4">
        <f>C2*C3</f>
        <v>42500</v>
      </c>
    </row>
    <row r="5" spans="1:3">
      <c r="A5" s="5" t="s">
        <v>15</v>
      </c>
      <c r="B5">
        <v>100</v>
      </c>
      <c r="C5">
        <v>500</v>
      </c>
    </row>
    <row r="6" spans="1:3">
      <c r="A6" s="5" t="s">
        <v>17</v>
      </c>
      <c r="B6" s="4">
        <v>1000</v>
      </c>
      <c r="C6" s="4">
        <v>5000</v>
      </c>
    </row>
    <row r="7" spans="1:3">
      <c r="A7" t="s">
        <v>11</v>
      </c>
      <c r="B7">
        <v>40</v>
      </c>
      <c r="C7">
        <v>40</v>
      </c>
    </row>
    <row r="8" spans="1:3">
      <c r="A8" t="s">
        <v>12</v>
      </c>
      <c r="B8">
        <v>200</v>
      </c>
      <c r="C8">
        <v>200</v>
      </c>
    </row>
    <row r="9" spans="1:3">
      <c r="A9" t="s">
        <v>18</v>
      </c>
      <c r="B9">
        <v>1.1000000000000001</v>
      </c>
      <c r="C9">
        <v>1.1000000000000001</v>
      </c>
    </row>
    <row r="10" spans="1:3">
      <c r="A10" t="s">
        <v>104</v>
      </c>
      <c r="B10">
        <v>1.75</v>
      </c>
      <c r="C10">
        <v>2</v>
      </c>
    </row>
    <row r="11" spans="1:3">
      <c r="A11" t="s">
        <v>13</v>
      </c>
      <c r="B11" s="6">
        <f>B4*B10*(B7+B8)*B9/1024^2</f>
        <v>3.7450790405273442</v>
      </c>
      <c r="C11" s="6">
        <f>C4*C10*(C7+C8)*C9/1024^2</f>
        <v>21.40045166015625</v>
      </c>
    </row>
    <row r="12" spans="1:3">
      <c r="A12" t="s">
        <v>14</v>
      </c>
      <c r="B12" s="6">
        <f>(B5+B6)*(B7+B8)*B9/1024^2</f>
        <v>0.276947021484375</v>
      </c>
      <c r="C12" s="6">
        <f>(C5+C6)*(C7+C8)*C9/1024^2</f>
        <v>1.3847351074218752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activeCell="C2" sqref="C2"/>
    </sheetView>
  </sheetViews>
  <sheetFormatPr defaultRowHeight="15"/>
  <cols>
    <col min="1" max="1" width="48.7109375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7" t="s">
        <v>19</v>
      </c>
      <c r="C1" s="7" t="s">
        <v>20</v>
      </c>
    </row>
    <row r="2" spans="1:3">
      <c r="A2" t="s">
        <v>21</v>
      </c>
      <c r="B2" s="4">
        <v>1000</v>
      </c>
      <c r="C2" s="4">
        <v>5000</v>
      </c>
    </row>
    <row r="3" spans="1:3">
      <c r="A3" t="s">
        <v>22</v>
      </c>
      <c r="B3" s="4">
        <v>500</v>
      </c>
      <c r="C3" s="4">
        <v>500</v>
      </c>
    </row>
    <row r="4" spans="1:3">
      <c r="A4" t="s">
        <v>23</v>
      </c>
      <c r="B4" s="8">
        <f>B2*B3/1024^2</f>
        <v>0.476837158203125</v>
      </c>
      <c r="C4" s="8">
        <f>C2*C3/1024^2</f>
        <v>2.384185791015625</v>
      </c>
    </row>
    <row r="5" spans="1:3">
      <c r="A5" t="s">
        <v>24</v>
      </c>
      <c r="B5" s="8">
        <f>B4*24*3600/1024</f>
        <v>40.233135223388672</v>
      </c>
      <c r="C5" s="8">
        <f>C4*24*3600/1024</f>
        <v>201.16567611694336</v>
      </c>
    </row>
    <row r="6" spans="1:3">
      <c r="A6" t="s">
        <v>25</v>
      </c>
      <c r="B6" s="4">
        <f>B2/10</f>
        <v>100</v>
      </c>
      <c r="C6" s="4">
        <f>C2/10</f>
        <v>500</v>
      </c>
    </row>
    <row r="7" spans="1:3">
      <c r="A7" t="s">
        <v>103</v>
      </c>
      <c r="B7">
        <v>5</v>
      </c>
      <c r="C7">
        <v>5</v>
      </c>
    </row>
    <row r="8" spans="1:3">
      <c r="A8" t="s">
        <v>102</v>
      </c>
      <c r="B8">
        <v>1000</v>
      </c>
      <c r="C8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9"/>
  <sheetViews>
    <sheetView workbookViewId="0">
      <selection activeCell="A34" sqref="A34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t="s">
        <v>8</v>
      </c>
      <c r="B1" s="7" t="s">
        <v>19</v>
      </c>
      <c r="C1" s="7" t="s">
        <v>20</v>
      </c>
    </row>
    <row r="2" spans="1:3">
      <c r="A2" t="s">
        <v>26</v>
      </c>
      <c r="B2" s="4">
        <v>1000</v>
      </c>
      <c r="C2" s="4">
        <v>5000</v>
      </c>
    </row>
    <row r="3" spans="1:3">
      <c r="A3" t="s">
        <v>27</v>
      </c>
      <c r="B3">
        <v>3</v>
      </c>
      <c r="C3">
        <v>3</v>
      </c>
    </row>
    <row r="4" spans="1:3">
      <c r="A4" t="s">
        <v>28</v>
      </c>
      <c r="B4" s="4">
        <f>B2*B3</f>
        <v>3000</v>
      </c>
      <c r="C4" s="4">
        <f>C2*C3</f>
        <v>15000</v>
      </c>
    </row>
    <row r="5" spans="1:3">
      <c r="A5" t="s">
        <v>32</v>
      </c>
      <c r="B5">
        <v>1</v>
      </c>
      <c r="C5">
        <v>1</v>
      </c>
    </row>
    <row r="6" spans="1:3">
      <c r="A6" t="s">
        <v>33</v>
      </c>
      <c r="B6">
        <v>1.4</v>
      </c>
      <c r="C6">
        <v>1.4</v>
      </c>
    </row>
    <row r="7" spans="1:3">
      <c r="A7" s="5" t="s">
        <v>31</v>
      </c>
      <c r="B7">
        <f>B4*B5/1000*B6</f>
        <v>4.1999999999999993</v>
      </c>
      <c r="C7">
        <f>C4*C5/1000*C6</f>
        <v>21</v>
      </c>
    </row>
    <row r="8" spans="1:3">
      <c r="A8" s="5" t="s">
        <v>30</v>
      </c>
      <c r="B8">
        <v>4</v>
      </c>
      <c r="C8">
        <v>4</v>
      </c>
    </row>
    <row r="9" spans="1:3">
      <c r="A9" t="s">
        <v>29</v>
      </c>
      <c r="B9" s="4">
        <f>B2*B8</f>
        <v>4000</v>
      </c>
      <c r="C9" s="4">
        <f>C2*C8</f>
        <v>20000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8"/>
  <sheetViews>
    <sheetView workbookViewId="0">
      <selection activeCell="D8" sqref="D8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t="s">
        <v>8</v>
      </c>
      <c r="C1" s="7" t="s">
        <v>19</v>
      </c>
      <c r="D1" s="7" t="s">
        <v>20</v>
      </c>
    </row>
    <row r="2" spans="1:4">
      <c r="A2" t="s">
        <v>34</v>
      </c>
      <c r="C2" s="4">
        <v>100</v>
      </c>
      <c r="D2" s="4">
        <v>500</v>
      </c>
    </row>
    <row r="3" spans="1:4">
      <c r="A3" t="s">
        <v>35</v>
      </c>
      <c r="B3">
        <v>0.5</v>
      </c>
      <c r="C3" s="4">
        <f>C2*$B3</f>
        <v>50</v>
      </c>
      <c r="D3" s="4">
        <f>D2*$B3</f>
        <v>250</v>
      </c>
    </row>
    <row r="4" spans="1:4">
      <c r="A4" t="s">
        <v>36</v>
      </c>
      <c r="B4">
        <v>2</v>
      </c>
      <c r="C4" s="4">
        <f>C2*$B4</f>
        <v>200</v>
      </c>
      <c r="D4" s="4">
        <f>D2*$B4</f>
        <v>1000</v>
      </c>
    </row>
    <row r="5" spans="1:4">
      <c r="A5" s="9" t="s">
        <v>39</v>
      </c>
      <c r="C5" s="21">
        <v>3</v>
      </c>
      <c r="D5" s="21"/>
    </row>
    <row r="6" spans="1:4">
      <c r="A6" t="s">
        <v>37</v>
      </c>
      <c r="B6">
        <v>5</v>
      </c>
      <c r="C6" s="4">
        <f>C2*$B6*$C5</f>
        <v>1500</v>
      </c>
      <c r="D6" s="4">
        <f>D2*$B6*$C5</f>
        <v>7500</v>
      </c>
    </row>
    <row r="7" spans="1:4">
      <c r="A7" t="s">
        <v>40</v>
      </c>
      <c r="C7" s="21">
        <v>400</v>
      </c>
      <c r="D7" s="21"/>
    </row>
    <row r="8" spans="1:4">
      <c r="A8" t="s">
        <v>38</v>
      </c>
      <c r="B8">
        <v>15</v>
      </c>
      <c r="C8" s="8">
        <f>C2*$C7*$B8*60/1024^2</f>
        <v>34.332275390625</v>
      </c>
      <c r="D8" s="8">
        <f>D2*$C7*$B8*60/1024^2</f>
        <v>171.661376953125</v>
      </c>
    </row>
  </sheetData>
  <mergeCells count="2">
    <mergeCell ref="C5:D5"/>
    <mergeCell ref="C7:D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8"/>
  <sheetViews>
    <sheetView workbookViewId="0">
      <selection activeCell="D7" sqref="D7"/>
    </sheetView>
  </sheetViews>
  <sheetFormatPr defaultRowHeight="15"/>
  <cols>
    <col min="1" max="1" width="54.85546875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t="s">
        <v>8</v>
      </c>
      <c r="C1" s="7" t="s">
        <v>19</v>
      </c>
      <c r="D1" s="7" t="s">
        <v>20</v>
      </c>
    </row>
    <row r="2" spans="1:4">
      <c r="A2" s="5" t="s">
        <v>16</v>
      </c>
      <c r="B2" s="5"/>
      <c r="C2" s="4">
        <v>10000</v>
      </c>
      <c r="D2" s="4">
        <v>50000</v>
      </c>
    </row>
    <row r="3" spans="1:4">
      <c r="A3" t="s">
        <v>44</v>
      </c>
      <c r="C3" s="22">
        <v>0.1</v>
      </c>
      <c r="D3" s="23"/>
    </row>
    <row r="4" spans="1:4">
      <c r="A4" t="s">
        <v>41</v>
      </c>
      <c r="C4" s="4">
        <f>C2*$C3</f>
        <v>1000</v>
      </c>
      <c r="D4" s="4">
        <f>D2*$C3</f>
        <v>5000</v>
      </c>
    </row>
    <row r="5" spans="1:4">
      <c r="A5" t="s">
        <v>42</v>
      </c>
      <c r="C5" s="21">
        <v>200</v>
      </c>
      <c r="D5" s="21"/>
    </row>
    <row r="6" spans="1:4">
      <c r="A6" t="s">
        <v>45</v>
      </c>
      <c r="C6" s="4">
        <f>C4*$C5/1000</f>
        <v>200</v>
      </c>
      <c r="D6" s="4">
        <f>D4*$C5/1000</f>
        <v>1000</v>
      </c>
    </row>
    <row r="7" spans="1:4">
      <c r="A7" t="s">
        <v>46</v>
      </c>
      <c r="B7">
        <v>4</v>
      </c>
      <c r="C7" s="4">
        <f>C4*$B7</f>
        <v>4000</v>
      </c>
      <c r="D7" s="4">
        <f>D4*$B7</f>
        <v>20000</v>
      </c>
    </row>
    <row r="8" spans="1:4">
      <c r="A8" t="s">
        <v>43</v>
      </c>
      <c r="B8">
        <v>20</v>
      </c>
      <c r="C8" s="4">
        <f>C4*$B8</f>
        <v>20000</v>
      </c>
      <c r="D8" s="4">
        <f>D4*$B8</f>
        <v>100000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10"/>
  <sheetViews>
    <sheetView workbookViewId="0">
      <selection activeCell="B9" sqref="B9"/>
    </sheetView>
  </sheetViews>
  <sheetFormatPr defaultRowHeight="15"/>
  <cols>
    <col min="1" max="1" width="29" bestFit="1" customWidth="1"/>
    <col min="2" max="2" width="7.85546875" style="5" bestFit="1" customWidth="1"/>
    <col min="3" max="3" width="18" style="5" bestFit="1" customWidth="1"/>
    <col min="4" max="4" width="26.140625" style="5" bestFit="1" customWidth="1"/>
    <col min="5" max="5" width="11.85546875" style="5" bestFit="1" customWidth="1"/>
    <col min="6" max="6" width="8.42578125" style="5" bestFit="1" customWidth="1"/>
    <col min="7" max="7" width="10.42578125" style="5" bestFit="1" customWidth="1"/>
    <col min="8" max="8" width="7" style="5" bestFit="1" customWidth="1"/>
    <col min="9" max="9" width="5.7109375" style="5" bestFit="1" customWidth="1"/>
  </cols>
  <sheetData>
    <row r="1" spans="1:9" ht="30">
      <c r="B1" s="24" t="s">
        <v>47</v>
      </c>
      <c r="C1" s="24"/>
      <c r="D1" s="5" t="s">
        <v>48</v>
      </c>
      <c r="E1" s="5" t="s">
        <v>63</v>
      </c>
      <c r="F1" s="13" t="s">
        <v>65</v>
      </c>
      <c r="G1" s="13"/>
      <c r="H1" s="5" t="s">
        <v>49</v>
      </c>
      <c r="I1" s="5" t="s">
        <v>50</v>
      </c>
    </row>
    <row r="2" spans="1:9">
      <c r="A2" t="s">
        <v>51</v>
      </c>
      <c r="B2" s="14">
        <v>50000</v>
      </c>
      <c r="C2" s="5" t="s">
        <v>60</v>
      </c>
      <c r="D2" s="5" t="s">
        <v>72</v>
      </c>
      <c r="E2" s="14">
        <v>2500</v>
      </c>
      <c r="F2" s="15">
        <v>1.5</v>
      </c>
      <c r="G2" s="5" t="s">
        <v>66</v>
      </c>
      <c r="H2" s="16">
        <f>B2/E2*F2</f>
        <v>30</v>
      </c>
      <c r="I2" s="14">
        <f>H2</f>
        <v>30</v>
      </c>
    </row>
    <row r="3" spans="1:9" ht="30">
      <c r="A3" s="25" t="s">
        <v>70</v>
      </c>
      <c r="B3" s="14">
        <v>42500</v>
      </c>
      <c r="C3" s="5" t="s">
        <v>56</v>
      </c>
      <c r="D3" s="13" t="s">
        <v>64</v>
      </c>
      <c r="E3" s="14">
        <v>8000</v>
      </c>
      <c r="F3" s="15">
        <v>1.5</v>
      </c>
      <c r="G3" s="5" t="s">
        <v>67</v>
      </c>
      <c r="H3" s="16">
        <f>(B3+B4)/E3*F3</f>
        <v>9</v>
      </c>
      <c r="I3" s="17" t="s">
        <v>78</v>
      </c>
    </row>
    <row r="4" spans="1:9">
      <c r="A4" s="25"/>
      <c r="B4" s="14">
        <v>5500</v>
      </c>
    </row>
    <row r="5" spans="1:9">
      <c r="A5" s="25" t="s">
        <v>71</v>
      </c>
      <c r="B5" s="14">
        <v>5000</v>
      </c>
      <c r="C5" s="5" t="s">
        <v>57</v>
      </c>
      <c r="D5" s="5" t="s">
        <v>73</v>
      </c>
      <c r="E5" s="14">
        <v>800</v>
      </c>
      <c r="F5" s="15">
        <v>1.3</v>
      </c>
      <c r="G5" s="5" t="s">
        <v>68</v>
      </c>
      <c r="H5" s="16">
        <f>B5/E5*F5</f>
        <v>8.125</v>
      </c>
      <c r="I5" s="17" t="s">
        <v>69</v>
      </c>
    </row>
    <row r="6" spans="1:9">
      <c r="A6" s="25"/>
      <c r="B6" s="14">
        <v>3</v>
      </c>
      <c r="C6" s="5" t="s">
        <v>61</v>
      </c>
    </row>
    <row r="7" spans="1:9">
      <c r="A7" t="s">
        <v>52</v>
      </c>
      <c r="B7" s="14">
        <v>5000</v>
      </c>
      <c r="C7" s="5" t="s">
        <v>58</v>
      </c>
      <c r="D7" s="5" t="s">
        <v>74</v>
      </c>
      <c r="E7" s="14">
        <v>500</v>
      </c>
      <c r="F7" s="15">
        <v>1.2</v>
      </c>
      <c r="G7" s="5" t="s">
        <v>66</v>
      </c>
      <c r="H7" s="16">
        <f>B7/E7*F7</f>
        <v>12</v>
      </c>
      <c r="I7" s="5">
        <v>12</v>
      </c>
    </row>
    <row r="8" spans="1:9">
      <c r="A8" t="s">
        <v>53</v>
      </c>
      <c r="B8" s="14">
        <v>500</v>
      </c>
      <c r="C8" s="5" t="s">
        <v>59</v>
      </c>
      <c r="D8" s="5" t="s">
        <v>75</v>
      </c>
      <c r="E8" s="14">
        <v>200</v>
      </c>
      <c r="F8" s="15">
        <v>1.5</v>
      </c>
      <c r="G8" s="5" t="s">
        <v>66</v>
      </c>
      <c r="H8" s="16">
        <f>B8/E8*F8</f>
        <v>3.75</v>
      </c>
      <c r="I8" s="18" t="s">
        <v>76</v>
      </c>
    </row>
    <row r="9" spans="1:9">
      <c r="A9" s="25" t="s">
        <v>54</v>
      </c>
      <c r="B9" s="14">
        <v>5000</v>
      </c>
      <c r="C9" s="5" t="s">
        <v>60</v>
      </c>
      <c r="D9" s="5" t="s">
        <v>55</v>
      </c>
      <c r="E9" s="14">
        <v>1000</v>
      </c>
      <c r="F9" s="15">
        <v>1.3</v>
      </c>
      <c r="G9" s="5" t="s">
        <v>66</v>
      </c>
      <c r="H9" s="16">
        <f>B9/E9*F9</f>
        <v>6.5</v>
      </c>
      <c r="I9" s="18" t="s">
        <v>77</v>
      </c>
    </row>
    <row r="10" spans="1:9">
      <c r="A10" s="25"/>
      <c r="B10" s="14">
        <v>20</v>
      </c>
      <c r="C10" s="26" t="s">
        <v>62</v>
      </c>
      <c r="D10" s="26"/>
    </row>
  </sheetData>
  <mergeCells count="5">
    <mergeCell ref="B1:C1"/>
    <mergeCell ref="A3:A4"/>
    <mergeCell ref="A5:A6"/>
    <mergeCell ref="A9:A10"/>
    <mergeCell ref="C10:D1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24"/>
  <sheetViews>
    <sheetView workbookViewId="0">
      <selection activeCell="J30" sqref="J30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12" max="12" width="126.7109375" customWidth="1"/>
  </cols>
  <sheetData>
    <row r="1" spans="1:8">
      <c r="A1" t="s">
        <v>79</v>
      </c>
      <c r="B1" t="s">
        <v>80</v>
      </c>
      <c r="C1" t="s">
        <v>81</v>
      </c>
      <c r="D1" t="s">
        <v>98</v>
      </c>
      <c r="E1" t="s">
        <v>87</v>
      </c>
      <c r="F1" t="s">
        <v>82</v>
      </c>
      <c r="G1" t="s">
        <v>83</v>
      </c>
      <c r="H1" t="s">
        <v>99</v>
      </c>
    </row>
    <row r="2" spans="1:8">
      <c r="A2" t="s">
        <v>88</v>
      </c>
      <c r="B2">
        <v>2</v>
      </c>
      <c r="C2">
        <v>4</v>
      </c>
      <c r="E2">
        <v>120</v>
      </c>
      <c r="F2">
        <f>B2*E2</f>
        <v>240</v>
      </c>
      <c r="G2">
        <f t="shared" ref="G2:G7" si="0">C2*E2</f>
        <v>480</v>
      </c>
    </row>
    <row r="3" spans="1:8">
      <c r="A3" t="s">
        <v>89</v>
      </c>
      <c r="B3">
        <v>4</v>
      </c>
      <c r="C3">
        <v>8</v>
      </c>
      <c r="E3">
        <v>10</v>
      </c>
      <c r="F3">
        <f t="shared" ref="F3:F10" si="1">B3*E3</f>
        <v>40</v>
      </c>
      <c r="G3">
        <f t="shared" si="0"/>
        <v>80</v>
      </c>
    </row>
    <row r="4" spans="1:8">
      <c r="A4" t="s">
        <v>90</v>
      </c>
      <c r="B4">
        <v>2</v>
      </c>
      <c r="C4">
        <v>4</v>
      </c>
      <c r="E4">
        <v>6</v>
      </c>
      <c r="F4">
        <f t="shared" si="1"/>
        <v>12</v>
      </c>
      <c r="G4">
        <f t="shared" si="0"/>
        <v>24</v>
      </c>
    </row>
    <row r="5" spans="1:8">
      <c r="A5" t="s">
        <v>52</v>
      </c>
      <c r="B5">
        <v>2</v>
      </c>
      <c r="C5">
        <v>4</v>
      </c>
      <c r="E5">
        <v>15</v>
      </c>
      <c r="F5">
        <f t="shared" si="1"/>
        <v>30</v>
      </c>
      <c r="G5">
        <f t="shared" si="0"/>
        <v>60</v>
      </c>
    </row>
    <row r="6" spans="1:8">
      <c r="A6" t="s">
        <v>54</v>
      </c>
      <c r="B6">
        <v>2</v>
      </c>
      <c r="C6">
        <v>4</v>
      </c>
      <c r="E6">
        <v>10</v>
      </c>
      <c r="F6">
        <f t="shared" si="1"/>
        <v>20</v>
      </c>
      <c r="G6">
        <f t="shared" si="0"/>
        <v>40</v>
      </c>
    </row>
    <row r="7" spans="1:8">
      <c r="A7" t="s">
        <v>91</v>
      </c>
      <c r="B7">
        <v>1</v>
      </c>
      <c r="C7">
        <v>2</v>
      </c>
      <c r="E7">
        <v>12</v>
      </c>
      <c r="F7">
        <f t="shared" si="1"/>
        <v>12</v>
      </c>
      <c r="G7">
        <f t="shared" si="0"/>
        <v>24</v>
      </c>
    </row>
    <row r="8" spans="1:8">
      <c r="A8" t="s">
        <v>92</v>
      </c>
    </row>
    <row r="9" spans="1:8">
      <c r="A9" s="20" t="s">
        <v>93</v>
      </c>
      <c r="C9">
        <v>32</v>
      </c>
      <c r="E9">
        <v>8</v>
      </c>
      <c r="F9">
        <f t="shared" si="1"/>
        <v>0</v>
      </c>
      <c r="G9">
        <f>C9*E9</f>
        <v>256</v>
      </c>
    </row>
    <row r="10" spans="1:8">
      <c r="A10" s="20" t="s">
        <v>94</v>
      </c>
      <c r="C10">
        <v>64</v>
      </c>
      <c r="E10">
        <v>8</v>
      </c>
      <c r="F10">
        <f t="shared" si="1"/>
        <v>0</v>
      </c>
      <c r="G10">
        <f>C10*E10</f>
        <v>512</v>
      </c>
    </row>
    <row r="11" spans="1:8">
      <c r="A11" s="20" t="s">
        <v>95</v>
      </c>
    </row>
    <row r="12" spans="1:8">
      <c r="A12" s="20" t="s">
        <v>96</v>
      </c>
      <c r="B12">
        <v>16</v>
      </c>
      <c r="C12">
        <v>64</v>
      </c>
      <c r="E12">
        <v>1</v>
      </c>
      <c r="F12">
        <f t="shared" ref="F12" si="2">B12*E12</f>
        <v>16</v>
      </c>
      <c r="G12">
        <f>C12*E12</f>
        <v>64</v>
      </c>
    </row>
    <row r="13" spans="1:8">
      <c r="A13" s="20" t="s">
        <v>94</v>
      </c>
      <c r="B13">
        <v>8</v>
      </c>
      <c r="C13">
        <v>32</v>
      </c>
      <c r="E13">
        <v>3</v>
      </c>
      <c r="F13">
        <f t="shared" ref="F13" si="3">B13*E13</f>
        <v>24</v>
      </c>
      <c r="G13">
        <f>C13*E13</f>
        <v>96</v>
      </c>
    </row>
    <row r="14" spans="1:8">
      <c r="A14" s="20" t="s">
        <v>97</v>
      </c>
    </row>
    <row r="15" spans="1:8">
      <c r="A15" s="20" t="s">
        <v>100</v>
      </c>
      <c r="B15">
        <v>16</v>
      </c>
      <c r="C15">
        <v>32</v>
      </c>
      <c r="D15">
        <v>4</v>
      </c>
      <c r="E15">
        <v>6</v>
      </c>
      <c r="F15">
        <f t="shared" ref="F15" si="4">B15*E15</f>
        <v>96</v>
      </c>
      <c r="G15">
        <f>C15*E15</f>
        <v>192</v>
      </c>
      <c r="H15">
        <f>D15*E15</f>
        <v>24</v>
      </c>
    </row>
    <row r="16" spans="1:8">
      <c r="A16" s="20" t="s">
        <v>101</v>
      </c>
      <c r="B16">
        <v>8</v>
      </c>
      <c r="C16">
        <v>16</v>
      </c>
      <c r="D16">
        <v>0.5</v>
      </c>
      <c r="E16">
        <v>3</v>
      </c>
      <c r="F16">
        <f t="shared" ref="F16" si="5">B16*E16</f>
        <v>24</v>
      </c>
      <c r="G16">
        <f>C16*E16</f>
        <v>48</v>
      </c>
      <c r="H16">
        <f>D16*E16</f>
        <v>1.5</v>
      </c>
    </row>
    <row r="17" spans="1:12">
      <c r="A17" s="20"/>
    </row>
    <row r="20" spans="1:12">
      <c r="A20" t="s">
        <v>84</v>
      </c>
      <c r="B20" t="s">
        <v>85</v>
      </c>
      <c r="C20" t="s">
        <v>85</v>
      </c>
      <c r="E20">
        <f t="shared" ref="E20:F20" si="6">SUM(E2:E19)</f>
        <v>202</v>
      </c>
      <c r="F20">
        <f t="shared" si="6"/>
        <v>514</v>
      </c>
      <c r="G20">
        <f>SUM(G2:G19)</f>
        <v>1876</v>
      </c>
      <c r="H20">
        <f>SUM(H2:H19)</f>
        <v>25.5</v>
      </c>
    </row>
    <row r="21" spans="1:12">
      <c r="A21" t="s">
        <v>86</v>
      </c>
      <c r="B21" t="s">
        <v>85</v>
      </c>
      <c r="C21" t="s">
        <v>85</v>
      </c>
      <c r="E21" t="s">
        <v>85</v>
      </c>
      <c r="F21">
        <f>ROUNDUP(F20*1.3,0)</f>
        <v>669</v>
      </c>
      <c r="G21">
        <f>ROUNDUP(G20*1.3,0)</f>
        <v>2439</v>
      </c>
      <c r="H21">
        <f>ROUNDUP(H20*1.3,0)</f>
        <v>34</v>
      </c>
    </row>
    <row r="24" spans="1:12" ht="16.5">
      <c r="L24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Константин Феоктистов</cp:lastModifiedBy>
  <dcterms:created xsi:type="dcterms:W3CDTF">2026-04-12T14:53:53Z</dcterms:created>
  <dcterms:modified xsi:type="dcterms:W3CDTF">2026-04-20T22:25:39Z</dcterms:modified>
</cp:coreProperties>
</file>