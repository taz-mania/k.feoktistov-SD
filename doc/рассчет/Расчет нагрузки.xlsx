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feok\Documents\УЧЕБА\System Design 2\"/>
    </mc:Choice>
  </mc:AlternateContent>
  <xr:revisionPtr revIDLastSave="0" documentId="13_ncr:1_{4F24E390-209F-4351-BE1B-5A0B56EFABF7}" xr6:coauthVersionLast="47" xr6:coauthVersionMax="47" xr10:uidLastSave="{00000000-0000-0000-0000-000000000000}"/>
  <bookViews>
    <workbookView xWindow="-120" yWindow="-120" windowWidth="29040" windowHeight="15840" activeTab="1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6" l="1"/>
  <c r="C7" i="6"/>
  <c r="D6" i="6"/>
  <c r="C6" i="6"/>
  <c r="D4" i="6"/>
  <c r="D8" i="6" s="1"/>
  <c r="C4" i="6"/>
  <c r="C8" i="6" s="1"/>
  <c r="D8" i="5"/>
  <c r="C8" i="5"/>
  <c r="D6" i="5"/>
  <c r="C6" i="5"/>
  <c r="D4" i="5"/>
  <c r="C4" i="5"/>
  <c r="D3" i="5"/>
  <c r="C3" i="5"/>
  <c r="C9" i="4"/>
  <c r="B9" i="4"/>
  <c r="C7" i="4"/>
  <c r="B7" i="4"/>
  <c r="C4" i="4"/>
  <c r="B4" i="4"/>
  <c r="C6" i="3"/>
  <c r="B6" i="3"/>
  <c r="C5" i="3"/>
  <c r="C4" i="3"/>
  <c r="B4" i="3"/>
  <c r="B5" i="3" s="1"/>
  <c r="C12" i="2"/>
  <c r="B12" i="2"/>
  <c r="C11" i="2"/>
  <c r="B11" i="2"/>
  <c r="B7" i="2"/>
  <c r="C7" i="2"/>
  <c r="C4" i="2"/>
  <c r="B4" i="2"/>
  <c r="H5" i="1"/>
  <c r="E5" i="1"/>
  <c r="H3" i="1"/>
  <c r="H4" i="1"/>
  <c r="H2" i="1"/>
  <c r="E3" i="1"/>
  <c r="E4" i="1"/>
  <c r="E2" i="1"/>
  <c r="F6" i="1"/>
  <c r="G3" i="1" s="1"/>
  <c r="C6" i="1"/>
  <c r="D3" i="1" s="1"/>
  <c r="G2" i="1" l="1"/>
  <c r="D2" i="1"/>
  <c r="D5" i="1"/>
  <c r="G5" i="1"/>
  <c r="D4" i="1"/>
  <c r="G4" i="1"/>
</calcChain>
</file>

<file path=xl/sharedStrings.xml><?xml version="1.0" encoding="utf-8"?>
<sst xmlns="http://schemas.openxmlformats.org/spreadsheetml/2006/main" count="61" uniqueCount="48">
  <si>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</si>
  <si>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</si>
  <si>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</si>
  <si>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</si>
  <si>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</si>
  <si>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</si>
  <si>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</si>
  <si>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</si>
  <si>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</si>
  <si>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</si>
  <si>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Операции чтения (GET), RPS</t>
  </si>
  <si>
    <t>Операции записи в кеш (SET/INCR), TPS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</si>
  <si>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</si>
  <si>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</si>
  <si>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</si>
  <si>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</si>
  <si>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</si>
  <si>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</si>
  <si>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</si>
  <si>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</si>
  <si>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</si>
  <si>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</si>
  <si>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</si>
  <si>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</si>
  <si>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</si>
  <si>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</si>
  <si>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Требование к IOPS (write)</t>
  </si>
  <si>
    <t>Скорость поступления сообщений в систему (inventory.events), msg/s</t>
  </si>
  <si>
    <t>Коэффициент репликации</t>
  </si>
  <si>
    <t>Фактическая запись на диски, msg/s</t>
  </si>
  <si>
    <t>Суммарная скорость чтения (всех consumer-групп), msg/s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</si>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</sst>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71" formatCode="#,##0.0"/>
    <numFmt numFmtId="177" formatCode="0.0"/>
  </numFmts>
  <fonts count="7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/>
    </xf>
    <xf numFmtId="166" fontId="0" fillId="0" borderId="0" xfId="0" applyNumberFormat="1"/>
    <xf numFmtId="3" fontId="0" fillId="0" borderId="0" xfId="0" applyNumberFormat="1"/>
    <xf numFmtId="0" fontId="4" fillId="0" borderId="0" xfId="0" applyFont="1"/>
    <xf numFmtId="171" fontId="0" fillId="0" borderId="0" xfId="0" applyNumberFormat="1"/>
    <xf numFmtId="0" fontId="0" fillId="0" borderId="0" xfId="0" applyAlignment="1">
      <alignment wrapText="1"/>
    </xf>
    <xf numFmtId="177" fontId="0" fillId="0" borderId="0" xfId="0" applyNumberFormat="1"/>
    <xf numFmtId="0" fontId="5" fillId="0" borderId="0" xfId="0" applyFont="1" applyAlignment="1">
      <alignment vertical="center"/>
    </xf>
    <xf numFmtId="0" fontId="0" fillId="0" borderId="0" xfId="0" applyAlignment="1">
      <alignment horizontal="center" wrapText="1"/>
    </xf>
    <xf numFmtId="9" fontId="0" fillId="0" borderId="0" xfId="0" applyNumberFormat="1" applyAlignment="1">
      <alignment horizont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A38" sqref="A38"/>
    </sheetView>
  </sheetViews>
  <sheetFormatPr defaultRowHeight="15"/>
  <cols>
    <col min="1" max="1" width="66.28515625" bestFit="1" customWidth="1"/>
    <col min="2" max="2" width="5.28515625" customWidth="1"/>
    <col min="3" max="4" width="8.5703125" customWidth="1"/>
    <col min="5" max="5" width="10.140625" bestFit="1" customWidth="1"/>
    <col min="6" max="7" width="9.7109375" customWidth="1"/>
  </cols>
  <sheetData>
    <row r="1" spans="1:8">
      <c r="A1" t="s">
        <v>0</v>
      </c>
      <c r="C1" s="3" t="s">
        <v>1</v>
      </c>
      <c r="D1" s="3"/>
      <c r="E1" s="3"/>
      <c r="F1" s="3" t="s">
        <v>2</v>
      </c>
      <c r="G1" s="3"/>
      <c r="H1" s="3"/>
    </row>
    <row r="2" spans="1:8">
      <c r="A2" t="s">
        <v>7</v>
      </c>
      <c r="B2">
        <v>0.1</v>
      </c>
      <c r="C2" s="2">
        <v>80000</v>
      </c>
      <c r="D2" s="1">
        <f>C2/C$6</f>
        <v>0.95408467501490757</v>
      </c>
      <c r="E2" s="2">
        <f>C2*B2</f>
        <v>8000</v>
      </c>
      <c r="F2" s="2">
        <v>400000</v>
      </c>
      <c r="G2" s="1">
        <f>F2/F$6</f>
        <v>0.95923261390887293</v>
      </c>
      <c r="H2" s="2">
        <f>F2*B2</f>
        <v>40000</v>
      </c>
    </row>
    <row r="3" spans="1:8">
      <c r="A3" t="s">
        <v>6</v>
      </c>
      <c r="B3">
        <v>2</v>
      </c>
      <c r="C3" s="2">
        <v>750</v>
      </c>
      <c r="D3" s="1">
        <f t="shared" ref="D3:D5" si="0">C3/C$6</f>
        <v>8.9445438282647581E-3</v>
      </c>
      <c r="E3" s="2">
        <f t="shared" ref="E3:E4" si="1">C3*B3</f>
        <v>1500</v>
      </c>
      <c r="F3" s="2">
        <v>4000</v>
      </c>
      <c r="G3" s="1">
        <f t="shared" ref="G3:G5" si="2">F3/F$6</f>
        <v>9.5923261390887284E-3</v>
      </c>
      <c r="H3" s="2">
        <f t="shared" ref="H3:H4" si="3">F3*B3</f>
        <v>8000</v>
      </c>
    </row>
    <row r="4" spans="1:8">
      <c r="A4" t="s">
        <v>5</v>
      </c>
      <c r="B4">
        <v>0.2</v>
      </c>
      <c r="C4" s="2">
        <v>2500</v>
      </c>
      <c r="D4" s="1">
        <f t="shared" si="0"/>
        <v>2.9815146094215862E-2</v>
      </c>
      <c r="E4" s="2">
        <f t="shared" si="1"/>
        <v>500</v>
      </c>
      <c r="F4" s="2">
        <v>10000</v>
      </c>
      <c r="G4" s="1">
        <f t="shared" si="2"/>
        <v>2.3980815347721823E-2</v>
      </c>
      <c r="H4" s="2">
        <f t="shared" si="3"/>
        <v>2000</v>
      </c>
    </row>
    <row r="5" spans="1:8">
      <c r="A5" t="s">
        <v>4</v>
      </c>
      <c r="B5">
        <v>6</v>
      </c>
      <c r="C5" s="2">
        <v>600</v>
      </c>
      <c r="D5" s="1">
        <f t="shared" si="0"/>
        <v>7.1556350626118068E-3</v>
      </c>
      <c r="E5" s="2">
        <f>C5/B5</f>
        <v>100</v>
      </c>
      <c r="F5" s="2">
        <v>3000</v>
      </c>
      <c r="G5" s="1">
        <f t="shared" si="2"/>
        <v>7.1942446043165471E-3</v>
      </c>
      <c r="H5" s="2">
        <f>F5/B5</f>
        <v>500</v>
      </c>
    </row>
    <row r="6" spans="1:8">
      <c r="A6" t="s">
        <v>3</v>
      </c>
      <c r="C6" s="2">
        <f>SUM(C2:C5)</f>
        <v>83850</v>
      </c>
      <c r="E6" s="2"/>
      <c r="F6" s="2">
        <f>SUM(F2:F5)</f>
        <v>417000</v>
      </c>
    </row>
    <row r="16" spans="1:8">
      <c r="E16" s="4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2"/>
  <sheetViews>
    <sheetView tabSelected="1" workbookViewId="0">
      <selection activeCell="B11" sqref="B11"/>
    </sheetView>
  </sheetViews>
  <sheetFormatPr defaultRowHeight="15"/>
  <cols>
    <col min="1" max="1" width="40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8" t="s">
        <v>20</v>
      </c>
      <c r="C1" s="8" t="s">
        <v>21</v>
      </c>
    </row>
    <row r="2" spans="1:3">
      <c r="A2" s="6" t="s">
        <v>17</v>
      </c>
      <c r="B2" s="5">
        <v>10000</v>
      </c>
      <c r="C2" s="5">
        <v>50000</v>
      </c>
    </row>
    <row r="3" spans="1:3">
      <c r="A3" t="s">
        <v>9</v>
      </c>
      <c r="B3">
        <v>0.85</v>
      </c>
      <c r="C3">
        <v>0.85</v>
      </c>
    </row>
    <row r="4" spans="1:3">
      <c r="A4" t="s">
        <v>10</v>
      </c>
      <c r="B4" s="5">
        <f>B2*B3</f>
        <v>8500</v>
      </c>
      <c r="C4" s="5">
        <f>C2*C3</f>
        <v>42500</v>
      </c>
    </row>
    <row r="5" spans="1:3">
      <c r="A5" s="6" t="s">
        <v>16</v>
      </c>
      <c r="B5">
        <v>100</v>
      </c>
      <c r="C5">
        <v>500</v>
      </c>
    </row>
    <row r="6" spans="1:3">
      <c r="A6" s="6" t="s">
        <v>18</v>
      </c>
      <c r="B6" s="5">
        <v>1000</v>
      </c>
      <c r="C6" s="5">
        <v>5000</v>
      </c>
    </row>
    <row r="7" spans="1:3">
      <c r="A7" t="s">
        <v>11</v>
      </c>
      <c r="B7" s="5">
        <f>B6+B5</f>
        <v>1100</v>
      </c>
      <c r="C7" s="5">
        <f>C5+C6</f>
        <v>5500</v>
      </c>
    </row>
    <row r="8" spans="1:3">
      <c r="A8" t="s">
        <v>12</v>
      </c>
      <c r="B8">
        <v>40</v>
      </c>
      <c r="C8">
        <v>40</v>
      </c>
    </row>
    <row r="9" spans="1:3">
      <c r="A9" t="s">
        <v>13</v>
      </c>
      <c r="B9">
        <v>200</v>
      </c>
      <c r="C9">
        <v>200</v>
      </c>
    </row>
    <row r="10" spans="1:3">
      <c r="A10" t="s">
        <v>19</v>
      </c>
      <c r="B10">
        <v>1.1000000000000001</v>
      </c>
      <c r="C10">
        <v>1.1000000000000001</v>
      </c>
    </row>
    <row r="11" spans="1:3">
      <c r="A11" t="s">
        <v>14</v>
      </c>
      <c r="B11" s="7">
        <f>B4*(B8+B9)*B10/1024^2</f>
        <v>2.140045166015625</v>
      </c>
      <c r="C11" s="7">
        <f>C4*(C8+C9)*C10/1024^2</f>
        <v>10.700225830078125</v>
      </c>
    </row>
    <row r="12" spans="1:3">
      <c r="A12" t="s">
        <v>15</v>
      </c>
      <c r="B12" s="7">
        <f>B7*(B8+B9)*B10/1024^2</f>
        <v>0.276947021484375</v>
      </c>
      <c r="C12" s="7">
        <f>C7*(C8+C9)*C10/1024^2</f>
        <v>1.3847351074218752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6"/>
  <sheetViews>
    <sheetView workbookViewId="0">
      <selection activeCell="B6" sqref="B6"/>
    </sheetView>
  </sheetViews>
  <sheetFormatPr defaultRowHeight="15"/>
  <cols>
    <col min="1" max="1" width="48.7109375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8" t="s">
        <v>20</v>
      </c>
      <c r="C1" s="8" t="s">
        <v>21</v>
      </c>
    </row>
    <row r="2" spans="1:3">
      <c r="A2" t="s">
        <v>22</v>
      </c>
      <c r="B2" s="5">
        <v>1000</v>
      </c>
      <c r="C2" s="5">
        <v>5000</v>
      </c>
    </row>
    <row r="3" spans="1:3">
      <c r="A3" t="s">
        <v>23</v>
      </c>
      <c r="B3" s="5">
        <v>500</v>
      </c>
      <c r="C3" s="5">
        <v>500</v>
      </c>
    </row>
    <row r="4" spans="1:3">
      <c r="A4" t="s">
        <v>24</v>
      </c>
      <c r="B4" s="9">
        <f>B2*B3/1024^2</f>
        <v>0.476837158203125</v>
      </c>
      <c r="C4" s="9">
        <f>C2*C3/1024^2</f>
        <v>2.384185791015625</v>
      </c>
    </row>
    <row r="5" spans="1:3">
      <c r="A5" t="s">
        <v>25</v>
      </c>
      <c r="B5" s="9">
        <f>B4*24*3600/1024</f>
        <v>40.233135223388672</v>
      </c>
      <c r="C5" s="9">
        <f>C4*24*3600/1024</f>
        <v>201.16567611694336</v>
      </c>
    </row>
    <row r="6" spans="1:3">
      <c r="A6" t="s">
        <v>26</v>
      </c>
      <c r="B6" s="5">
        <f>B2/10</f>
        <v>100</v>
      </c>
      <c r="C6" s="5">
        <f>C2/10</f>
        <v>500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9"/>
  <sheetViews>
    <sheetView workbookViewId="0">
      <selection activeCell="B9" sqref="B9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8" t="s">
        <v>20</v>
      </c>
      <c r="C1" s="8" t="s">
        <v>21</v>
      </c>
    </row>
    <row r="2" spans="1:3">
      <c r="A2" t="s">
        <v>27</v>
      </c>
      <c r="B2" s="5">
        <v>1000</v>
      </c>
      <c r="C2" s="5">
        <v>5000</v>
      </c>
    </row>
    <row r="3" spans="1:3">
      <c r="A3" t="s">
        <v>28</v>
      </c>
      <c r="B3">
        <v>3</v>
      </c>
      <c r="C3">
        <v>3</v>
      </c>
    </row>
    <row r="4" spans="1:3">
      <c r="A4" t="s">
        <v>29</v>
      </c>
      <c r="B4" s="5">
        <f>B2*B3</f>
        <v>3000</v>
      </c>
      <c r="C4" s="5">
        <f>C2*C3</f>
        <v>15000</v>
      </c>
    </row>
    <row r="5" spans="1:3">
      <c r="A5" t="s">
        <v>33</v>
      </c>
      <c r="B5">
        <v>1</v>
      </c>
      <c r="C5">
        <v>1</v>
      </c>
    </row>
    <row r="6" spans="1:3">
      <c r="A6" t="s">
        <v>34</v>
      </c>
      <c r="B6">
        <v>1.4</v>
      </c>
      <c r="C6">
        <v>1.4</v>
      </c>
    </row>
    <row r="7" spans="1:3">
      <c r="A7" s="6" t="s">
        <v>32</v>
      </c>
      <c r="B7">
        <f>B4*B5/1000*B6</f>
        <v>4.1999999999999993</v>
      </c>
      <c r="C7">
        <f>C4*C5/1000*C6</f>
        <v>21</v>
      </c>
    </row>
    <row r="8" spans="1:3">
      <c r="A8" s="6" t="s">
        <v>31</v>
      </c>
      <c r="B8">
        <v>4</v>
      </c>
      <c r="C8">
        <v>4</v>
      </c>
    </row>
    <row r="9" spans="1:3">
      <c r="A9" t="s">
        <v>30</v>
      </c>
      <c r="B9" s="5">
        <f>B2*B8</f>
        <v>4000</v>
      </c>
      <c r="C9" s="5">
        <f>C2*C8</f>
        <v>20000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8"/>
  <sheetViews>
    <sheetView workbookViewId="0">
      <selection activeCell="D4" sqref="D4"/>
    </sheetView>
  </sheetViews>
  <sheetFormatPr defaultRowHeight="15"/>
  <cols>
    <col min="1" max="1" width="44.85546875" bestFit="1" customWidth="1"/>
    <col min="2" max="2" width="5.5703125" customWidth="1"/>
    <col min="3" max="3" width="10" bestFit="1" customWidth="1"/>
    <col min="4" max="4" width="9.140625" bestFit="1" customWidth="1"/>
  </cols>
  <sheetData>
    <row r="1" spans="1:4" ht="30">
      <c r="A1" t="s">
        <v>8</v>
      </c>
      <c r="C1" s="8" t="s">
        <v>20</v>
      </c>
      <c r="D1" s="8" t="s">
        <v>21</v>
      </c>
    </row>
    <row r="2" spans="1:4">
      <c r="A2" t="s">
        <v>35</v>
      </c>
      <c r="C2" s="5">
        <v>100</v>
      </c>
      <c r="D2" s="5">
        <v>500</v>
      </c>
    </row>
    <row r="3" spans="1:4">
      <c r="A3" t="s">
        <v>36</v>
      </c>
      <c r="B3">
        <v>0.5</v>
      </c>
      <c r="C3" s="5">
        <f>C2*$B3</f>
        <v>50</v>
      </c>
      <c r="D3" s="5">
        <f>D2*$B3</f>
        <v>250</v>
      </c>
    </row>
    <row r="4" spans="1:4">
      <c r="A4" t="s">
        <v>37</v>
      </c>
      <c r="B4">
        <v>2</v>
      </c>
      <c r="C4" s="5">
        <f>C2*$B4</f>
        <v>200</v>
      </c>
      <c r="D4" s="5">
        <f>D2*$B4</f>
        <v>1000</v>
      </c>
    </row>
    <row r="5" spans="1:4">
      <c r="A5" s="10" t="s">
        <v>40</v>
      </c>
      <c r="C5" s="3">
        <v>3</v>
      </c>
      <c r="D5" s="3"/>
    </row>
    <row r="6" spans="1:4">
      <c r="A6" t="s">
        <v>38</v>
      </c>
      <c r="B6">
        <v>5</v>
      </c>
      <c r="C6" s="5">
        <f>C2*$B6*$C5</f>
        <v>1500</v>
      </c>
      <c r="D6" s="5">
        <f>D2*$B6*$C5</f>
        <v>7500</v>
      </c>
    </row>
    <row r="7" spans="1:4">
      <c r="A7" t="s">
        <v>41</v>
      </c>
      <c r="C7" s="3">
        <v>400</v>
      </c>
      <c r="D7" s="3"/>
    </row>
    <row r="8" spans="1:4">
      <c r="A8" t="s">
        <v>39</v>
      </c>
      <c r="B8">
        <v>15</v>
      </c>
      <c r="C8" s="9">
        <f>C2*$C7*$B8*60/1024^2</f>
        <v>34.332275390625</v>
      </c>
      <c r="D8" s="9">
        <f>D2*$C7*$B8*60/1024^2</f>
        <v>171.661376953125</v>
      </c>
    </row>
  </sheetData>
  <mergeCells count="2">
    <mergeCell ref="C5:D5"/>
    <mergeCell ref="C7:D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8"/>
  <sheetViews>
    <sheetView workbookViewId="0">
      <selection activeCell="D8" sqref="D8"/>
    </sheetView>
  </sheetViews>
  <sheetFormatPr defaultRowHeight="15"/>
  <cols>
    <col min="1" max="1" width="54.85546875" bestFit="1" customWidth="1"/>
    <col min="2" max="2" width="4.85546875" customWidth="1"/>
    <col min="3" max="3" width="8.7109375" bestFit="1" customWidth="1"/>
    <col min="4" max="4" width="9.140625" bestFit="1" customWidth="1"/>
  </cols>
  <sheetData>
    <row r="1" spans="1:4" ht="30">
      <c r="A1" t="s">
        <v>8</v>
      </c>
      <c r="C1" s="8" t="s">
        <v>20</v>
      </c>
      <c r="D1" s="8" t="s">
        <v>21</v>
      </c>
    </row>
    <row r="2" spans="1:4">
      <c r="A2" s="6" t="s">
        <v>17</v>
      </c>
      <c r="B2" s="6"/>
      <c r="C2" s="5">
        <v>10000</v>
      </c>
      <c r="D2" s="5">
        <v>50000</v>
      </c>
    </row>
    <row r="3" spans="1:4">
      <c r="A3" t="s">
        <v>45</v>
      </c>
      <c r="C3" s="12">
        <v>0.1</v>
      </c>
      <c r="D3" s="11"/>
    </row>
    <row r="4" spans="1:4">
      <c r="A4" t="s">
        <v>42</v>
      </c>
      <c r="C4" s="5">
        <f>C2*$C3</f>
        <v>1000</v>
      </c>
      <c r="D4" s="5">
        <f>D2*$C3</f>
        <v>5000</v>
      </c>
    </row>
    <row r="5" spans="1:4">
      <c r="A5" t="s">
        <v>43</v>
      </c>
      <c r="C5" s="3">
        <v>200</v>
      </c>
      <c r="D5" s="3"/>
    </row>
    <row r="6" spans="1:4">
      <c r="A6" t="s">
        <v>46</v>
      </c>
      <c r="C6" s="5">
        <f>C4*$C5/1000</f>
        <v>200</v>
      </c>
      <c r="D6" s="5">
        <f>D4*$C5/1000</f>
        <v>1000</v>
      </c>
    </row>
    <row r="7" spans="1:4">
      <c r="A7" t="s">
        <v>47</v>
      </c>
      <c r="B7">
        <v>1</v>
      </c>
      <c r="C7" s="5">
        <f>C4*$B7</f>
        <v>1000</v>
      </c>
      <c r="D7" s="5">
        <f>D4*$B7</f>
        <v>5000</v>
      </c>
    </row>
    <row r="8" spans="1:4">
      <c r="A8" t="s">
        <v>44</v>
      </c>
      <c r="B8">
        <v>20</v>
      </c>
      <c r="C8" s="5">
        <f>C4*$B8</f>
        <v>20000</v>
      </c>
      <c r="D8" s="5">
        <f>D4*$B8</f>
        <v>100000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Нагрузка по категориям</vt:lpstr>
      <vt:lpstr>Redis</vt:lpstr>
      <vt:lpstr>PgSQL</vt:lpstr>
      <vt:lpstr>Kafka</vt:lpstr>
      <vt:lpstr>OLTP</vt:lpstr>
      <vt:lpstr>Гео-поиск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Константин Феоктистов</cp:lastModifiedBy>
  <dcterms:created xsi:type="dcterms:W3CDTF">2026-04-12T14:53:53Z</dcterms:created>
  <dcterms:modified xsi:type="dcterms:W3CDTF">2026-04-14T23:11:20Z</dcterms:modified>
</cp:coreProperties>
</file>