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eok\k.feoktistov-SD\doc\рассчет\"/>
    </mc:Choice>
  </mc:AlternateContent>
  <xr:revisionPtr revIDLastSave="0" documentId="13_ncr:1_{9F014613-D9AD-49C8-8029-E84AD574E5A2}" xr6:coauthVersionLast="47" xr6:coauthVersionMax="47" xr10:uidLastSave="{00000000-0000-0000-0000-000000000000}"/>
  <bookViews>
    <workbookView xWindow="-120" yWindow="-120" windowWidth="29040" windowHeight="15840" activeTab="7" xr2:uid="{548C2066-4916-4BCB-AD8A-EB90AA9710FB}"/>
  </bookViews>
  <sheets>
    <sheet name="Нагрузка по категориям" sheetId="1" r:id="rId1"/>
    <sheet name="Redis" sheetId="2" r:id="rId2"/>
    <sheet name="PgSQL" sheetId="3" r:id="rId3"/>
    <sheet name="Kafka" sheetId="4" r:id="rId4"/>
    <sheet name="OLTP" sheetId="5" r:id="rId5"/>
    <sheet name="Гео-поиск" sheetId="6" r:id="rId6"/>
    <sheet name="Расчет параметров" sheetId="7" r:id="rId7"/>
    <sheet name="Расчет ресурсов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8" l="1"/>
  <c r="H3" i="8"/>
  <c r="H4" i="8"/>
  <c r="H5" i="8"/>
  <c r="H6" i="8"/>
  <c r="H7" i="8"/>
  <c r="H9" i="8"/>
  <c r="H10" i="8"/>
  <c r="H12" i="8"/>
  <c r="H13" i="8"/>
  <c r="E6" i="8"/>
  <c r="G6" i="8" s="1"/>
  <c r="E5" i="8"/>
  <c r="E3" i="8"/>
  <c r="F3" i="8" s="1"/>
  <c r="E2" i="8"/>
  <c r="F2" i="8" s="1"/>
  <c r="H5" i="7"/>
  <c r="C7" i="2"/>
  <c r="B7" i="2"/>
  <c r="B5" i="7"/>
  <c r="C15" i="2"/>
  <c r="B15" i="2"/>
  <c r="C2" i="4"/>
  <c r="B2" i="4"/>
  <c r="B2" i="3"/>
  <c r="C2" i="3"/>
  <c r="C4" i="3" s="1"/>
  <c r="C5" i="3" s="1"/>
  <c r="C9" i="2"/>
  <c r="B9" i="2"/>
  <c r="H8" i="1"/>
  <c r="E8" i="1"/>
  <c r="H3" i="7"/>
  <c r="C11" i="4"/>
  <c r="B11" i="4"/>
  <c r="D10" i="6"/>
  <c r="C10" i="6"/>
  <c r="D8" i="5"/>
  <c r="C8" i="5"/>
  <c r="F16" i="8"/>
  <c r="G16" i="8"/>
  <c r="H16" i="8"/>
  <c r="H15" i="8"/>
  <c r="H18" i="8" s="1"/>
  <c r="H19" i="8" s="1"/>
  <c r="G15" i="8"/>
  <c r="F15" i="8"/>
  <c r="F13" i="8"/>
  <c r="G13" i="8"/>
  <c r="G12" i="8"/>
  <c r="F12" i="8"/>
  <c r="F10" i="8"/>
  <c r="F9" i="8"/>
  <c r="F4" i="8"/>
  <c r="F5" i="8"/>
  <c r="F6" i="8"/>
  <c r="F7" i="8"/>
  <c r="G7" i="8"/>
  <c r="G5" i="8"/>
  <c r="G4" i="8"/>
  <c r="G3" i="8"/>
  <c r="G10" i="8"/>
  <c r="G9" i="8"/>
  <c r="H10" i="7"/>
  <c r="H9" i="7"/>
  <c r="H8" i="7"/>
  <c r="H6" i="7"/>
  <c r="H2" i="7"/>
  <c r="I2" i="7" s="1"/>
  <c r="H6" i="1"/>
  <c r="E6" i="1"/>
  <c r="D6" i="6"/>
  <c r="C6" i="6"/>
  <c r="D4" i="6"/>
  <c r="D8" i="6" s="1"/>
  <c r="C4" i="6"/>
  <c r="C8" i="6" s="1"/>
  <c r="D10" i="5"/>
  <c r="C10" i="5"/>
  <c r="D6" i="5"/>
  <c r="C6" i="5"/>
  <c r="D4" i="5"/>
  <c r="C4" i="5"/>
  <c r="D3" i="5"/>
  <c r="C3" i="5"/>
  <c r="C9" i="4"/>
  <c r="B9" i="4"/>
  <c r="B7" i="4"/>
  <c r="C4" i="4"/>
  <c r="C7" i="4" s="1"/>
  <c r="B4" i="4"/>
  <c r="C4" i="2"/>
  <c r="C6" i="2" s="1"/>
  <c r="C14" i="2" s="1"/>
  <c r="B4" i="2"/>
  <c r="B6" i="2" s="1"/>
  <c r="B14" i="2" s="1"/>
  <c r="H5" i="1"/>
  <c r="E5" i="1"/>
  <c r="H3" i="1"/>
  <c r="H4" i="1"/>
  <c r="H2" i="1"/>
  <c r="E3" i="1"/>
  <c r="E4" i="1"/>
  <c r="E2" i="1"/>
  <c r="F6" i="1"/>
  <c r="G3" i="1" s="1"/>
  <c r="C6" i="1"/>
  <c r="D3" i="1" s="1"/>
  <c r="G2" i="8" l="1"/>
  <c r="B4" i="3"/>
  <c r="B5" i="3" s="1"/>
  <c r="C7" i="6"/>
  <c r="D7" i="6"/>
  <c r="F18" i="8"/>
  <c r="F19" i="8" s="1"/>
  <c r="G18" i="8"/>
  <c r="G19" i="8" s="1"/>
  <c r="G2" i="1"/>
  <c r="D2" i="1"/>
  <c r="D5" i="1"/>
  <c r="G5" i="1"/>
  <c r="D4" i="1"/>
  <c r="G4" i="1"/>
</calcChain>
</file>

<file path=xl/sharedStrings.xml><?xml version="1.0" encoding="utf-8"?>
<sst xmlns="http://schemas.openxmlformats.org/spreadsheetml/2006/main" count="151" uniqueCount="120">
  <si>
    <t>Категория пользователей</t>
  </si>
  <si>
    <t>Базовый режим</t>
  </si>
  <si>
    <t>Пиковый режим нагрузки</t>
  </si>
  <si>
    <t>Итого конкурентных сессий</t>
  </si>
  <si>
    <t>Параллельные операции резервирования [1], активных сессий</t>
  </si>
  <si>
    <r>
      <t>Сотрудники торговых залов</t>
    </r>
    <r>
      <rPr>
        <sz val="11"/>
        <color rgb="FFBBBEBF"/>
        <rFont val="Inherit"/>
      </rPr>
      <t xml:space="preserve"> : </t>
    </r>
    <r>
      <rPr>
        <sz val="11"/>
        <rFont val="Inherit"/>
        <charset val="204"/>
      </rPr>
      <t>ТСД</t>
    </r>
    <r>
      <rPr>
        <sz val="11"/>
        <color theme="1"/>
        <rFont val="Calibri"/>
        <family val="2"/>
        <charset val="204"/>
        <scheme val="minor"/>
      </rPr>
      <t>, терминалов</t>
    </r>
  </si>
  <si>
    <r>
      <t>Внешние </t>
    </r>
    <r>
      <rPr>
        <sz val="11"/>
        <rFont val="Inherit"/>
        <charset val="204"/>
      </rPr>
      <t>службы доставки : API-агенты</t>
    </r>
    <r>
      <rPr>
        <sz val="11"/>
        <color theme="1"/>
        <rFont val="Calibri"/>
        <family val="2"/>
        <charset val="204"/>
        <scheme val="minor"/>
      </rPr>
      <t>,  активных интеграций</t>
    </r>
  </si>
  <si>
    <r>
      <t>Клиенты eDA</t>
    </r>
    <r>
      <rPr>
        <sz val="11"/>
        <rFont val="Inherit"/>
        <charset val="204"/>
      </rPr>
      <t> : мобильное приложение/веб</t>
    </r>
    <r>
      <rPr>
        <sz val="11"/>
        <color theme="1"/>
        <rFont val="Calibri"/>
        <family val="2"/>
        <charset val="204"/>
        <scheme val="minor"/>
      </rPr>
      <t>, одновременных сессий</t>
    </r>
  </si>
  <si>
    <t>Метрика</t>
  </si>
  <si>
    <t>Коэффициент попаданий в кэш (целевой)</t>
  </si>
  <si>
    <t>Размер типичного ключа, байт</t>
  </si>
  <si>
    <t>Размер типичного значения, байт</t>
  </si>
  <si>
    <t>Трафик чтения, МБ/с</t>
  </si>
  <si>
    <t>Трафик записи, МБ/с</t>
  </si>
  <si>
    <r>
      <t>Транзакции резервирования,</t>
    </r>
    <r>
      <rPr>
        <sz val="11"/>
        <rFont val="Consolas"/>
        <family val="3"/>
        <charset val="204"/>
      </rPr>
      <t xml:space="preserve"> TPS</t>
    </r>
  </si>
  <si>
    <t>Запросы чтения (Query API), RPS</t>
  </si>
  <si>
    <t>События записи (Write Stream), EPS</t>
  </si>
  <si>
    <t>Накладные расходы на трафик</t>
  </si>
  <si>
    <t>Базовый 
режим</t>
  </si>
  <si>
    <t>Пиковый 
режим</t>
  </si>
  <si>
    <t>Запись неизменяемых событий (append-only), EPS</t>
  </si>
  <si>
    <t>Размер события (полезные данные + метаданные)</t>
  </si>
  <si>
    <t>Объем записи в WAL, МБ/с</t>
  </si>
  <si>
    <t>Объем за сутки, ГБ</t>
  </si>
  <si>
    <t>Коэффициент репликации</t>
  </si>
  <si>
    <t>Consumer groups (потребители)</t>
  </si>
  <si>
    <r>
      <t>Трафик между брокерами</t>
    </r>
    <r>
      <rPr>
        <sz val="11"/>
        <rFont val="Inherit"/>
      </rPr>
      <t>, МБ/с</t>
    </r>
  </si>
  <si>
    <t>Размер серилизованного сообщения (в формате Avro)</t>
  </si>
  <si>
    <t>network overhead</t>
  </si>
  <si>
    <t>Новые резервы (INSERT), TPS</t>
  </si>
  <si>
    <t>Обновления статусов (UPDATE), TPS</t>
  </si>
  <si>
    <t>Проверки лимитов (SELECT), TPS</t>
  </si>
  <si>
    <t>Активных блокировок в Redis (одновременно)</t>
  </si>
  <si>
    <t>Размер таблицы РЕЗЕРВЫ, ГБ</t>
  </si>
  <si>
    <t>Коэффициент конкурентных блокировок</t>
  </si>
  <si>
    <t>Запись таблицы резервирования, байт</t>
  </si>
  <si>
    <t>Запросы геопоиска (5 км, до 20 магазинов), RPS</t>
  </si>
  <si>
    <t>Latency требование (p99), мс</t>
  </si>
  <si>
    <t xml:space="preserve">Последующих проверок наличия (MGET в Redis), ключей </t>
  </si>
  <si>
    <t>Доля Geo-запросов в общем объеме запросов</t>
  </si>
  <si>
    <t xml:space="preserve">Количество одновременных запросов </t>
  </si>
  <si>
    <t>Операций чтения из Гео-индекс</t>
  </si>
  <si>
    <t>Пиковая нагрузка</t>
  </si>
  <si>
    <t>Допущение</t>
  </si>
  <si>
    <t>Расчет</t>
  </si>
  <si>
    <t>Итог</t>
  </si>
  <si>
    <t>Сервис Запросов</t>
  </si>
  <si>
    <t>Загрузчик моделей чтения</t>
  </si>
  <si>
    <t>Сервис резервирования</t>
  </si>
  <si>
    <t>Гео-сервис</t>
  </si>
  <si>
    <t>1 instance = ~1 000 RPS</t>
  </si>
  <si>
    <t>OPS</t>
  </si>
  <si>
    <t>MPS</t>
  </si>
  <si>
    <t>EPS</t>
  </si>
  <si>
    <t>TPS</t>
  </si>
  <si>
    <t>RPS</t>
  </si>
  <si>
    <t xml:space="preserve">Фактор резерва </t>
  </si>
  <si>
    <t>мультиплаикатор, ключей</t>
  </si>
  <si>
    <t>Принимаем</t>
  </si>
  <si>
    <t>1 master node = до 
8 000–10 000 OPS</t>
  </si>
  <si>
    <t>Фактор
резерва</t>
  </si>
  <si>
    <t>Инстансов</t>
  </si>
  <si>
    <t>Узлов</t>
  </si>
  <si>
    <t>Партиций</t>
  </si>
  <si>
    <r>
      <t>Event Bus</t>
    </r>
    <r>
      <rPr>
        <sz val="11"/>
        <rFont val="Calibri"/>
        <family val="2"/>
        <charset val="204"/>
        <scheme val="minor"/>
      </rPr>
      <t> (Kafka)</t>
    </r>
  </si>
  <si>
    <t>1 инстанс = 2 000–3 000 RPS</t>
  </si>
  <si>
    <t>1 партиция = 500–1 000 MPS</t>
  </si>
  <si>
    <t>1 инстанс = 400–600 EPS</t>
  </si>
  <si>
    <t>1 инстанс = 150–250 TPS</t>
  </si>
  <si>
    <t>Компонент</t>
  </si>
  <si>
    <t>CPU (cores)</t>
  </si>
  <si>
    <t>RAM (GB)</t>
  </si>
  <si>
    <t>Итого CPU</t>
  </si>
  <si>
    <t>Итого RAM</t>
  </si>
  <si>
    <t>Итого</t>
  </si>
  <si>
    <t>Запас (+30%)</t>
  </si>
  <si>
    <t>Инстансы</t>
  </si>
  <si>
    <t>Сервис запросов</t>
  </si>
  <si>
    <t>Сервис резерва</t>
  </si>
  <si>
    <t>Сервис комманд</t>
  </si>
  <si>
    <t>Адаптеры (POS/WMS/OMS)</t>
  </si>
  <si>
    <t>Распределенный кеш</t>
  </si>
  <si>
    <t>- мастер-ноды</t>
  </si>
  <si>
    <t>- реплики</t>
  </si>
  <si>
    <t>- мастер</t>
  </si>
  <si>
    <t>Kafka</t>
  </si>
  <si>
    <t>SSD (TB)</t>
  </si>
  <si>
    <t>Итого SSD</t>
  </si>
  <si>
    <t>Хранилище модели чтения (MongoDB)</t>
  </si>
  <si>
    <t>Требование к задержке fsync</t>
  </si>
  <si>
    <t xml:space="preserve">Коэффициент hot SKU </t>
  </si>
  <si>
    <t>Конфликты активных блокировок в Redis</t>
  </si>
  <si>
    <t xml:space="preserve">Массовый одновременный запрос популярных SKU, ключей </t>
  </si>
  <si>
    <t>Коэффициент эксплуатационного запаса</t>
  </si>
  <si>
    <t>Коэффициент событий на один пользовательский запрос</t>
  </si>
  <si>
    <t>Расчетный поток событий (EPS)</t>
  </si>
  <si>
    <t>Доля событий, приводящих к записи в Redis</t>
  </si>
  <si>
    <t>Оценка write IOPS (верхняя граница, без учета group commit)</t>
  </si>
  <si>
    <t>Примечание : IOPS не выводится напрямую из EPS; основным показателем является поток WAL и latency fsync</t>
  </si>
  <si>
    <t>Распределенный кэш Redis (read + write)</t>
  </si>
  <si>
    <t>9-12</t>
  </si>
  <si>
    <t>Worst-case Redis (hot SKU + burst)</t>
  </si>
  <si>
    <t>Дополнительный burst 30% поверх нагрузки hot SKU</t>
  </si>
  <si>
    <t>Worst-case нагрузка (Read), RPS</t>
  </si>
  <si>
    <t>Примечание по единицам измерения</t>
  </si>
  <si>
    <t>RPS — пользовательские запросы в секунду</t>
  </si>
  <si>
    <t>TPS — бизнес-транзакции в секунду</t>
  </si>
  <si>
    <t>EPS / msg/s — события в секунду</t>
  </si>
  <si>
    <t>OPS — операции в секунду на инфраструктурный компонент</t>
  </si>
  <si>
    <t>Операции чтения Redis, OPS</t>
  </si>
  <si>
    <t>Реальная нагрузка Redis (read), OPS</t>
  </si>
  <si>
    <t>Скорость поступления сообщений в систему (inventory.events), MPS</t>
  </si>
  <si>
    <t>Фактическая запись на диски, MPS</t>
  </si>
  <si>
    <t>Суммарная скорость чтения (всех consumer-групп), MPS</t>
  </si>
  <si>
    <t>Суммарная эксплуатационная нагрузка, MPS</t>
  </si>
  <si>
    <t>- брокеры (для 9–12 партиций)</t>
  </si>
  <si>
    <t>Конфигурация принята исходя из требований отказоустойчивости, а не только из расчетной TPS-нагрузки</t>
  </si>
  <si>
    <t>Количество брокеров определено исходя из 9–12 партиций и replication factor</t>
  </si>
  <si>
    <t>--</t>
  </si>
  <si>
    <t>PostgreSQL хранилища событий (конфигурация отказоустойчивости)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</si>
</sst>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0.000"/>
    <numFmt numFmtId="167" formatCode="#,##0.0"/>
    <numFmt numFmtId="168" formatCode="0.0"/>
    <numFmt numFmtId="169" formatCode="_-* #,##0.0_-;\-* #,##0.0_-;_-* &quot;-&quot;??_-;_-@_-"/>
  </numFmts>
  <fonts count="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BBBEBF"/>
      <name val="Inherit"/>
    </font>
    <font>
      <sz val="11"/>
      <name val="Inherit"/>
      <charset val="204"/>
    </font>
    <font>
      <sz val="11"/>
      <name val="Calibri"/>
      <family val="2"/>
      <charset val="204"/>
      <scheme val="minor"/>
    </font>
    <font>
      <sz val="11"/>
      <name val="Consolas"/>
      <family val="3"/>
      <charset val="204"/>
    </font>
    <font>
      <sz val="11"/>
      <name val="Inherit"/>
    </font>
    <font>
      <sz val="1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2" applyNumberFormat="1" applyFont="1"/>
    <xf numFmtId="165" fontId="0" fillId="0" borderId="0" xfId="1" applyNumberFormat="1" applyFont="1"/>
    <xf numFmtId="166" fontId="0" fillId="0" borderId="0" xfId="0" applyNumberFormat="1"/>
    <xf numFmtId="3" fontId="0" fillId="0" borderId="0" xfId="0" applyNumberFormat="1"/>
    <xf numFmtId="0" fontId="4" fillId="0" borderId="0" xfId="0" applyFont="1"/>
    <xf numFmtId="167" fontId="0" fillId="0" borderId="0" xfId="0" applyNumberFormat="1"/>
    <xf numFmtId="0" fontId="0" fillId="0" borderId="0" xfId="0" applyAlignment="1">
      <alignment wrapText="1"/>
    </xf>
    <xf numFmtId="168" fontId="0" fillId="0" borderId="0" xfId="0" applyNumberFormat="1"/>
    <xf numFmtId="0" fontId="5" fillId="0" borderId="0" xfId="0" applyFont="1" applyAlignment="1">
      <alignment vertical="center"/>
    </xf>
    <xf numFmtId="165" fontId="0" fillId="0" borderId="0" xfId="0" applyNumberFormat="1"/>
    <xf numFmtId="165" fontId="0" fillId="0" borderId="1" xfId="1" applyNumberFormat="1" applyFont="1" applyBorder="1"/>
    <xf numFmtId="165" fontId="0" fillId="0" borderId="2" xfId="1" applyNumberFormat="1" applyFont="1" applyBorder="1"/>
    <xf numFmtId="0" fontId="4" fillId="0" borderId="0" xfId="0" applyFont="1" applyAlignment="1">
      <alignment wrapText="1"/>
    </xf>
    <xf numFmtId="165" fontId="4" fillId="0" borderId="0" xfId="1" applyNumberFormat="1" applyFont="1" applyBorder="1"/>
    <xf numFmtId="169" fontId="4" fillId="0" borderId="0" xfId="1" applyNumberFormat="1" applyFont="1" applyBorder="1"/>
    <xf numFmtId="2" fontId="4" fillId="0" borderId="0" xfId="0" applyNumberFormat="1" applyFont="1"/>
    <xf numFmtId="0" fontId="7" fillId="0" borderId="0" xfId="0" applyFont="1" applyAlignment="1">
      <alignment wrapText="1"/>
    </xf>
    <xf numFmtId="0" fontId="0" fillId="0" borderId="0" xfId="0" quotePrefix="1"/>
    <xf numFmtId="165" fontId="4" fillId="2" borderId="0" xfId="1" applyNumberFormat="1" applyFont="1" applyFill="1" applyBorder="1"/>
    <xf numFmtId="0" fontId="4" fillId="2" borderId="0" xfId="0" quotePrefix="1" applyFont="1" applyFill="1" applyAlignment="1">
      <alignment horizontal="right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wrapText="1"/>
    </xf>
    <xf numFmtId="167" fontId="0" fillId="2" borderId="0" xfId="0" applyNumberFormat="1" applyFill="1"/>
    <xf numFmtId="0" fontId="0" fillId="2" borderId="0" xfId="0" applyFill="1"/>
    <xf numFmtId="165" fontId="0" fillId="2" borderId="0" xfId="0" applyNumberFormat="1" applyFill="1"/>
    <xf numFmtId="0" fontId="0" fillId="0" borderId="0" xfId="0" applyAlignment="1">
      <alignment vertical="top"/>
    </xf>
    <xf numFmtId="0" fontId="4" fillId="2" borderId="0" xfId="0" applyFont="1" applyFill="1"/>
    <xf numFmtId="3" fontId="0" fillId="2" borderId="0" xfId="0" applyNumberFormat="1" applyFill="1"/>
    <xf numFmtId="0" fontId="0" fillId="2" borderId="0" xfId="0" applyFill="1" applyAlignment="1">
      <alignment wrapText="1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wrapText="1"/>
    </xf>
    <xf numFmtId="169" fontId="4" fillId="2" borderId="0" xfId="1" applyNumberFormat="1" applyFont="1" applyFill="1" applyBorder="1"/>
    <xf numFmtId="2" fontId="4" fillId="2" borderId="0" xfId="0" applyNumberFormat="1" applyFont="1" applyFill="1"/>
    <xf numFmtId="1" fontId="0" fillId="2" borderId="0" xfId="0" applyNumberFormat="1" applyFill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ile+.vscode-resource.vscode-cdn.net/c%3A/Users/kfeok/k.feoktistov-SD/doc/1.02.%20%D0%9D%D0%B5%D1%84%D1%83%D0%BD%D0%BA%D1%86%D0%B8%D0%BE%D0%BD%D0%B0%D0%BB%D1%8C%D0%BD%D1%8B%D0%B5%20%D1%82%D1%80%D0%B5%D0%B1%D0%BE%D0%B2%D0%B0%D0%BD%D0%B8%D1%8F.ado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7056-4192-4690-BAC2-6E338866AD04}">
  <dimension ref="A1:H16"/>
  <sheetViews>
    <sheetView workbookViewId="0">
      <selection activeCell="A7" sqref="A7"/>
    </sheetView>
  </sheetViews>
  <sheetFormatPr defaultRowHeight="15"/>
  <cols>
    <col min="1" max="1" width="66.28515625" bestFit="1" customWidth="1"/>
    <col min="2" max="2" width="4" bestFit="1" customWidth="1"/>
    <col min="3" max="3" width="7.85546875" bestFit="1" customWidth="1"/>
    <col min="4" max="4" width="6.85546875" customWidth="1"/>
    <col min="5" max="5" width="7.85546875" bestFit="1" customWidth="1"/>
    <col min="6" max="6" width="8.85546875" bestFit="1" customWidth="1"/>
    <col min="7" max="7" width="7.7109375" customWidth="1"/>
    <col min="8" max="8" width="7.85546875" bestFit="1" customWidth="1"/>
  </cols>
  <sheetData>
    <row r="1" spans="1:8">
      <c r="A1" t="s">
        <v>0</v>
      </c>
      <c r="C1" s="21" t="s">
        <v>1</v>
      </c>
      <c r="D1" s="21"/>
      <c r="E1" s="21"/>
      <c r="F1" s="21" t="s">
        <v>2</v>
      </c>
      <c r="G1" s="21"/>
      <c r="H1" s="21"/>
    </row>
    <row r="2" spans="1:8">
      <c r="A2" t="s">
        <v>7</v>
      </c>
      <c r="B2">
        <v>0.1</v>
      </c>
      <c r="C2" s="2">
        <v>80000</v>
      </c>
      <c r="D2" s="1">
        <f>C2/C$6</f>
        <v>0.95408467501490757</v>
      </c>
      <c r="E2" s="2">
        <f>C2*B2</f>
        <v>8000</v>
      </c>
      <c r="F2" s="2">
        <v>400000</v>
      </c>
      <c r="G2" s="1">
        <f>F2/F$6</f>
        <v>0.95923261390887293</v>
      </c>
      <c r="H2" s="2">
        <f>F2*B2</f>
        <v>40000</v>
      </c>
    </row>
    <row r="3" spans="1:8">
      <c r="A3" t="s">
        <v>6</v>
      </c>
      <c r="B3">
        <v>2</v>
      </c>
      <c r="C3" s="2">
        <v>750</v>
      </c>
      <c r="D3" s="1">
        <f t="shared" ref="D3:D5" si="0">C3/C$6</f>
        <v>8.9445438282647581E-3</v>
      </c>
      <c r="E3" s="2">
        <f t="shared" ref="E3:E4" si="1">C3*B3</f>
        <v>1500</v>
      </c>
      <c r="F3" s="2">
        <v>4000</v>
      </c>
      <c r="G3" s="1">
        <f t="shared" ref="G3:G5" si="2">F3/F$6</f>
        <v>9.5923261390887284E-3</v>
      </c>
      <c r="H3" s="2">
        <f t="shared" ref="H3:H4" si="3">F3*B3</f>
        <v>8000</v>
      </c>
    </row>
    <row r="4" spans="1:8" ht="15.75" thickBot="1">
      <c r="A4" t="s">
        <v>5</v>
      </c>
      <c r="B4">
        <v>0.2</v>
      </c>
      <c r="C4" s="2">
        <v>2500</v>
      </c>
      <c r="D4" s="1">
        <f t="shared" si="0"/>
        <v>2.9815146094215862E-2</v>
      </c>
      <c r="E4" s="2">
        <f t="shared" si="1"/>
        <v>500</v>
      </c>
      <c r="F4" s="2">
        <v>10000</v>
      </c>
      <c r="G4" s="1">
        <f t="shared" si="2"/>
        <v>2.3980815347721823E-2</v>
      </c>
      <c r="H4" s="2">
        <f t="shared" si="3"/>
        <v>2000</v>
      </c>
    </row>
    <row r="5" spans="1:8">
      <c r="A5" t="s">
        <v>4</v>
      </c>
      <c r="B5">
        <v>6</v>
      </c>
      <c r="C5" s="2">
        <v>600</v>
      </c>
      <c r="D5" s="1">
        <f t="shared" si="0"/>
        <v>7.1556350626118068E-3</v>
      </c>
      <c r="E5" s="11">
        <f>C5/B5</f>
        <v>100</v>
      </c>
      <c r="F5" s="2">
        <v>3000</v>
      </c>
      <c r="G5" s="1">
        <f t="shared" si="2"/>
        <v>7.1942446043165471E-3</v>
      </c>
      <c r="H5" s="11">
        <f>F5/B5</f>
        <v>500</v>
      </c>
    </row>
    <row r="6" spans="1:8" ht="15.75" thickBot="1">
      <c r="A6" t="s">
        <v>3</v>
      </c>
      <c r="C6" s="2">
        <f>SUM(C2:C5)</f>
        <v>83850</v>
      </c>
      <c r="E6" s="12">
        <f>SUM(E2:E4)</f>
        <v>10000</v>
      </c>
      <c r="F6" s="2">
        <f>SUM(F2:F5)</f>
        <v>417000</v>
      </c>
      <c r="H6" s="12">
        <f>SUM(H2:H4)</f>
        <v>50000</v>
      </c>
    </row>
    <row r="7" spans="1:8">
      <c r="A7" s="28" t="s">
        <v>94</v>
      </c>
      <c r="B7" s="28">
        <v>0.1</v>
      </c>
      <c r="E7" s="10"/>
      <c r="H7" s="10"/>
    </row>
    <row r="8" spans="1:8">
      <c r="A8" s="28" t="s">
        <v>95</v>
      </c>
      <c r="E8" s="29">
        <f>E6*B7</f>
        <v>1000</v>
      </c>
      <c r="H8" s="29">
        <f>H6*B7</f>
        <v>5000</v>
      </c>
    </row>
    <row r="16" spans="1:8">
      <c r="E16" s="3"/>
    </row>
  </sheetData>
  <mergeCells count="2">
    <mergeCell ref="C1:E1"/>
    <mergeCell ref="F1:H1"/>
  </mergeCells>
  <hyperlinks>
    <hyperlink ref="A5" r:id="rId1" location="_footnotedef_1" tooltip="View footnote." display="https://file+.vscode-resource.vscode-cdn.net/c%3A/Users/kfeok/k.feoktistov-SD/doc/1.02. %D0%9D%D0%B5%D1%84%D1%83%D0%BD%D0%BA%D1%86%D0%B8%D0%BE%D0%BD%D0%B0%D0%BB%D1%8C%D0%BD%D1%8B%D0%B5 %D1%82%D1%80%D0%B5%D0%B1%D0%BE%D0%B2%D0%B0%D0%BD%D0%B8%D1%8F.adoc - _footnotedef_1" xr:uid="{BDC6418F-0116-4DD7-8140-A3586AFE260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7B4C-98B6-45DE-86CF-3985BDBE0E2C}">
  <dimension ref="A1:C15"/>
  <sheetViews>
    <sheetView workbookViewId="0">
      <selection activeCell="C6" sqref="C6"/>
    </sheetView>
  </sheetViews>
  <sheetFormatPr defaultRowHeight="15"/>
  <cols>
    <col min="1" max="1" width="42.140625" bestFit="1" customWidth="1"/>
    <col min="2" max="2" width="8.7109375" bestFit="1" customWidth="1"/>
    <col min="3" max="3" width="9.140625" bestFit="1" customWidth="1"/>
  </cols>
  <sheetData>
    <row r="1" spans="1:3" ht="30">
      <c r="A1" t="s">
        <v>8</v>
      </c>
      <c r="B1" s="7" t="s">
        <v>18</v>
      </c>
      <c r="C1" s="7" t="s">
        <v>19</v>
      </c>
    </row>
    <row r="2" spans="1:3">
      <c r="A2" s="5" t="s">
        <v>15</v>
      </c>
      <c r="B2" s="4">
        <v>10000</v>
      </c>
      <c r="C2" s="4">
        <v>50000</v>
      </c>
    </row>
    <row r="3" spans="1:3">
      <c r="A3" t="s">
        <v>9</v>
      </c>
      <c r="B3">
        <v>0.85</v>
      </c>
      <c r="C3">
        <v>0.85</v>
      </c>
    </row>
    <row r="4" spans="1:3">
      <c r="A4" s="28" t="s">
        <v>109</v>
      </c>
      <c r="B4" s="4">
        <f>B2*B3</f>
        <v>8500</v>
      </c>
      <c r="C4" s="4">
        <f>C2*C3</f>
        <v>42500</v>
      </c>
    </row>
    <row r="5" spans="1:3">
      <c r="A5" t="s">
        <v>90</v>
      </c>
      <c r="B5">
        <v>1.75</v>
      </c>
      <c r="C5">
        <v>2</v>
      </c>
    </row>
    <row r="6" spans="1:3">
      <c r="A6" s="28" t="s">
        <v>110</v>
      </c>
      <c r="B6" s="4">
        <f>B4*B5</f>
        <v>14875</v>
      </c>
      <c r="C6" s="4">
        <f>C4*C5</f>
        <v>85000</v>
      </c>
    </row>
    <row r="7" spans="1:3">
      <c r="A7" s="28" t="s">
        <v>103</v>
      </c>
      <c r="B7" s="32">
        <f>B6*1.3</f>
        <v>19337.5</v>
      </c>
      <c r="C7" s="32">
        <f>C6*1.3</f>
        <v>110500</v>
      </c>
    </row>
    <row r="8" spans="1:3">
      <c r="A8" s="5" t="s">
        <v>14</v>
      </c>
      <c r="B8">
        <v>100</v>
      </c>
      <c r="C8">
        <v>500</v>
      </c>
    </row>
    <row r="9" spans="1:3">
      <c r="A9" s="5" t="s">
        <v>16</v>
      </c>
      <c r="B9" s="4">
        <f>'Нагрузка по категориям'!E8</f>
        <v>1000</v>
      </c>
      <c r="C9" s="4">
        <f>'Нагрузка по категориям'!H8</f>
        <v>5000</v>
      </c>
    </row>
    <row r="10" spans="1:3">
      <c r="A10" s="28" t="s">
        <v>96</v>
      </c>
      <c r="B10" s="28">
        <v>0.8</v>
      </c>
      <c r="C10" s="28">
        <v>0.8</v>
      </c>
    </row>
    <row r="11" spans="1:3">
      <c r="A11" t="s">
        <v>10</v>
      </c>
      <c r="B11">
        <v>40</v>
      </c>
      <c r="C11">
        <v>40</v>
      </c>
    </row>
    <row r="12" spans="1:3">
      <c r="A12" t="s">
        <v>11</v>
      </c>
      <c r="B12">
        <v>200</v>
      </c>
      <c r="C12">
        <v>200</v>
      </c>
    </row>
    <row r="13" spans="1:3">
      <c r="A13" t="s">
        <v>17</v>
      </c>
      <c r="B13">
        <v>1.1000000000000001</v>
      </c>
      <c r="C13">
        <v>1.1000000000000001</v>
      </c>
    </row>
    <row r="14" spans="1:3">
      <c r="A14" t="s">
        <v>12</v>
      </c>
      <c r="B14" s="6">
        <f>B6*(B11+B12)*B13/1024^2</f>
        <v>3.7450790405273442</v>
      </c>
      <c r="C14" s="6">
        <f>C6*(C11+C12)*C13/1024^2</f>
        <v>21.40045166015625</v>
      </c>
    </row>
    <row r="15" spans="1:3">
      <c r="A15" t="s">
        <v>13</v>
      </c>
      <c r="B15" s="27">
        <f>(B8+B9*B10)*(B11+B12)*B13/1024^2</f>
        <v>0.22659301757812503</v>
      </c>
      <c r="C15" s="27">
        <f>(C8+C9*C10)*(C11+C12)*C13/1024^2</f>
        <v>1.132965087890625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5EE5-F96B-41B5-BBCA-C26C1C7AFB6E}">
  <dimension ref="A1:C8"/>
  <sheetViews>
    <sheetView workbookViewId="0">
      <selection activeCell="A8" sqref="A8"/>
    </sheetView>
  </sheetViews>
  <sheetFormatPr defaultRowHeight="15"/>
  <cols>
    <col min="1" max="1" width="58.42578125" bestFit="1" customWidth="1"/>
    <col min="2" max="2" width="8.7109375" bestFit="1" customWidth="1"/>
    <col min="3" max="3" width="9.140625" bestFit="1" customWidth="1"/>
  </cols>
  <sheetData>
    <row r="1" spans="1:3" ht="30">
      <c r="A1" t="s">
        <v>8</v>
      </c>
      <c r="B1" s="7" t="s">
        <v>18</v>
      </c>
      <c r="C1" s="7" t="s">
        <v>19</v>
      </c>
    </row>
    <row r="2" spans="1:3">
      <c r="A2" t="s">
        <v>20</v>
      </c>
      <c r="B2" s="4">
        <f>'Нагрузка по категориям'!E8</f>
        <v>1000</v>
      </c>
      <c r="C2" s="4">
        <f>'Нагрузка по категориям'!H8</f>
        <v>5000</v>
      </c>
    </row>
    <row r="3" spans="1:3">
      <c r="A3" t="s">
        <v>21</v>
      </c>
      <c r="B3" s="4">
        <v>500</v>
      </c>
      <c r="C3" s="4">
        <v>500</v>
      </c>
    </row>
    <row r="4" spans="1:3">
      <c r="A4" t="s">
        <v>22</v>
      </c>
      <c r="B4" s="8">
        <f>B2*B3/1024^2</f>
        <v>0.476837158203125</v>
      </c>
      <c r="C4" s="8">
        <f>C2*C3/1024^2</f>
        <v>2.384185791015625</v>
      </c>
    </row>
    <row r="5" spans="1:3">
      <c r="A5" t="s">
        <v>23</v>
      </c>
      <c r="B5" s="8">
        <f>B4*24*3600/1024</f>
        <v>40.233135223388672</v>
      </c>
      <c r="C5" s="8">
        <f>C4*24*3600/1024</f>
        <v>201.16567611694336</v>
      </c>
    </row>
    <row r="6" spans="1:3">
      <c r="A6" s="28" t="s">
        <v>97</v>
      </c>
      <c r="B6" s="32">
        <v>1000</v>
      </c>
      <c r="C6" s="32">
        <v>5000</v>
      </c>
    </row>
    <row r="7" spans="1:3">
      <c r="A7" t="s">
        <v>89</v>
      </c>
      <c r="B7">
        <v>5</v>
      </c>
      <c r="C7">
        <v>5</v>
      </c>
    </row>
    <row r="8" spans="1:3" ht="30">
      <c r="A8" s="33" t="s">
        <v>98</v>
      </c>
      <c r="B8" s="28">
        <v>1000</v>
      </c>
      <c r="C8" s="28">
        <v>5000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DDA6-059A-4502-BE2D-86DB28348AE5}">
  <dimension ref="A1:C11"/>
  <sheetViews>
    <sheetView workbookViewId="0">
      <selection activeCell="A11" sqref="A11"/>
    </sheetView>
  </sheetViews>
  <sheetFormatPr defaultRowHeight="15"/>
  <cols>
    <col min="1" max="1" width="66.5703125" bestFit="1" customWidth="1"/>
    <col min="2" max="2" width="8.7109375" bestFit="1" customWidth="1"/>
    <col min="3" max="3" width="9.140625" bestFit="1" customWidth="1"/>
  </cols>
  <sheetData>
    <row r="1" spans="1:3" ht="30">
      <c r="A1" t="s">
        <v>8</v>
      </c>
      <c r="B1" s="7" t="s">
        <v>18</v>
      </c>
      <c r="C1" s="7" t="s">
        <v>19</v>
      </c>
    </row>
    <row r="2" spans="1:3">
      <c r="A2" s="28" t="s">
        <v>111</v>
      </c>
      <c r="B2" s="4">
        <f>'Нагрузка по категориям'!E8</f>
        <v>1000</v>
      </c>
      <c r="C2" s="4">
        <f>'Нагрузка по категориям'!H8</f>
        <v>5000</v>
      </c>
    </row>
    <row r="3" spans="1:3">
      <c r="A3" t="s">
        <v>24</v>
      </c>
      <c r="B3">
        <v>3</v>
      </c>
      <c r="C3">
        <v>3</v>
      </c>
    </row>
    <row r="4" spans="1:3">
      <c r="A4" s="28" t="s">
        <v>112</v>
      </c>
      <c r="B4" s="4">
        <f>B2*B3</f>
        <v>3000</v>
      </c>
      <c r="C4" s="4">
        <f>C2*C3</f>
        <v>15000</v>
      </c>
    </row>
    <row r="5" spans="1:3">
      <c r="A5" t="s">
        <v>27</v>
      </c>
      <c r="B5">
        <v>1</v>
      </c>
      <c r="C5">
        <v>1</v>
      </c>
    </row>
    <row r="6" spans="1:3">
      <c r="A6" t="s">
        <v>28</v>
      </c>
      <c r="B6">
        <v>1.4</v>
      </c>
      <c r="C6">
        <v>1.4</v>
      </c>
    </row>
    <row r="7" spans="1:3">
      <c r="A7" s="5" t="s">
        <v>26</v>
      </c>
      <c r="B7">
        <f>B4*B5/1000*B6</f>
        <v>4.1999999999999993</v>
      </c>
      <c r="C7">
        <f>C4*C5/1000*C6</f>
        <v>21</v>
      </c>
    </row>
    <row r="8" spans="1:3">
      <c r="A8" s="5" t="s">
        <v>25</v>
      </c>
      <c r="B8">
        <v>4</v>
      </c>
      <c r="C8">
        <v>4</v>
      </c>
    </row>
    <row r="9" spans="1:3">
      <c r="A9" s="28" t="s">
        <v>113</v>
      </c>
      <c r="B9" s="4">
        <f>B2*B8</f>
        <v>4000</v>
      </c>
      <c r="C9" s="4">
        <f>C2*C8</f>
        <v>20000</v>
      </c>
    </row>
    <row r="10" spans="1:3">
      <c r="A10" t="s">
        <v>93</v>
      </c>
      <c r="B10">
        <v>1.3</v>
      </c>
      <c r="C10">
        <v>1.5</v>
      </c>
    </row>
    <row r="11" spans="1:3">
      <c r="A11" s="28" t="s">
        <v>114</v>
      </c>
      <c r="B11" s="4">
        <f>B9*B10</f>
        <v>5200</v>
      </c>
      <c r="C11" s="4">
        <f>C9*C10</f>
        <v>30000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9EB8-A39B-4A01-BF8C-361CA874547E}">
  <dimension ref="A1:D10"/>
  <sheetViews>
    <sheetView workbookViewId="0">
      <selection activeCell="C5" sqref="C5:D5"/>
    </sheetView>
  </sheetViews>
  <sheetFormatPr defaultRowHeight="15"/>
  <cols>
    <col min="1" max="1" width="44.85546875" bestFit="1" customWidth="1"/>
    <col min="2" max="2" width="4" bestFit="1" customWidth="1"/>
    <col min="3" max="3" width="10" bestFit="1" customWidth="1"/>
    <col min="4" max="4" width="9.140625" bestFit="1" customWidth="1"/>
  </cols>
  <sheetData>
    <row r="1" spans="1:4" ht="30">
      <c r="A1" t="s">
        <v>8</v>
      </c>
      <c r="C1" s="7" t="s">
        <v>18</v>
      </c>
      <c r="D1" s="7" t="s">
        <v>19</v>
      </c>
    </row>
    <row r="2" spans="1:4">
      <c r="A2" t="s">
        <v>29</v>
      </c>
      <c r="C2" s="4">
        <v>100</v>
      </c>
      <c r="D2" s="4">
        <v>500</v>
      </c>
    </row>
    <row r="3" spans="1:4">
      <c r="A3" t="s">
        <v>30</v>
      </c>
      <c r="B3">
        <v>0.5</v>
      </c>
      <c r="C3" s="4">
        <f>C2*$B3</f>
        <v>50</v>
      </c>
      <c r="D3" s="4">
        <f>D2*$B3</f>
        <v>250</v>
      </c>
    </row>
    <row r="4" spans="1:4">
      <c r="A4" t="s">
        <v>31</v>
      </c>
      <c r="B4">
        <v>2</v>
      </c>
      <c r="C4" s="4">
        <f>C2*$B4</f>
        <v>200</v>
      </c>
      <c r="D4" s="4">
        <f>D2*$B4</f>
        <v>1000</v>
      </c>
    </row>
    <row r="5" spans="1:4">
      <c r="A5" s="9" t="s">
        <v>34</v>
      </c>
      <c r="C5" s="21">
        <v>3</v>
      </c>
      <c r="D5" s="21"/>
    </row>
    <row r="6" spans="1:4">
      <c r="A6" t="s">
        <v>32</v>
      </c>
      <c r="B6">
        <v>5</v>
      </c>
      <c r="C6" s="4">
        <f>C2*$B6*$C5</f>
        <v>1500</v>
      </c>
      <c r="D6" s="4">
        <f>D2*$B6*$C5</f>
        <v>7500</v>
      </c>
    </row>
    <row r="7" spans="1:4">
      <c r="A7" t="s">
        <v>90</v>
      </c>
      <c r="C7">
        <v>1.75</v>
      </c>
      <c r="D7">
        <v>2</v>
      </c>
    </row>
    <row r="8" spans="1:4">
      <c r="A8" t="s">
        <v>91</v>
      </c>
      <c r="C8" s="4">
        <f>C6*C7</f>
        <v>2625</v>
      </c>
      <c r="D8" s="4">
        <f>D6*D7</f>
        <v>15000</v>
      </c>
    </row>
    <row r="9" spans="1:4">
      <c r="A9" t="s">
        <v>35</v>
      </c>
      <c r="C9" s="21">
        <v>400</v>
      </c>
      <c r="D9" s="21"/>
    </row>
    <row r="10" spans="1:4">
      <c r="A10" t="s">
        <v>33</v>
      </c>
      <c r="B10">
        <v>15</v>
      </c>
      <c r="C10" s="8">
        <f>C2*$C9*$B10*60/1024^2</f>
        <v>34.332275390625</v>
      </c>
      <c r="D10" s="8">
        <f>D2*$C9*$B10*60/1024^2</f>
        <v>171.661376953125</v>
      </c>
    </row>
  </sheetData>
  <mergeCells count="2">
    <mergeCell ref="C5:D5"/>
    <mergeCell ref="C9:D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FB74-ABB6-4177-82BB-7F65B8A9C27A}">
  <dimension ref="A1:D10"/>
  <sheetViews>
    <sheetView workbookViewId="0">
      <selection activeCell="I22" sqref="I21:I22"/>
    </sheetView>
  </sheetViews>
  <sheetFormatPr defaultRowHeight="15"/>
  <cols>
    <col min="1" max="1" width="58" bestFit="1" customWidth="1"/>
    <col min="2" max="2" width="3" bestFit="1" customWidth="1"/>
    <col min="3" max="3" width="8.7109375" bestFit="1" customWidth="1"/>
    <col min="4" max="4" width="9.140625" bestFit="1" customWidth="1"/>
  </cols>
  <sheetData>
    <row r="1" spans="1:4" ht="30">
      <c r="A1" t="s">
        <v>8</v>
      </c>
      <c r="C1" s="7" t="s">
        <v>18</v>
      </c>
      <c r="D1" s="7" t="s">
        <v>19</v>
      </c>
    </row>
    <row r="2" spans="1:4">
      <c r="A2" s="5" t="s">
        <v>15</v>
      </c>
      <c r="B2" s="5"/>
      <c r="C2" s="4">
        <v>10000</v>
      </c>
      <c r="D2" s="4">
        <v>50000</v>
      </c>
    </row>
    <row r="3" spans="1:4">
      <c r="A3" t="s">
        <v>39</v>
      </c>
      <c r="C3" s="22">
        <v>0.1</v>
      </c>
      <c r="D3" s="23"/>
    </row>
    <row r="4" spans="1:4">
      <c r="A4" t="s">
        <v>36</v>
      </c>
      <c r="C4" s="4">
        <f>C2*$C3</f>
        <v>1000</v>
      </c>
      <c r="D4" s="4">
        <f>D2*$C3</f>
        <v>5000</v>
      </c>
    </row>
    <row r="5" spans="1:4">
      <c r="A5" t="s">
        <v>37</v>
      </c>
      <c r="C5" s="21">
        <v>200</v>
      </c>
      <c r="D5" s="21"/>
    </row>
    <row r="6" spans="1:4">
      <c r="A6" t="s">
        <v>40</v>
      </c>
      <c r="C6" s="4">
        <f>C4*$C5/1000</f>
        <v>200</v>
      </c>
      <c r="D6" s="4">
        <f>D4*$C5/1000</f>
        <v>1000</v>
      </c>
    </row>
    <row r="7" spans="1:4">
      <c r="A7" t="s">
        <v>41</v>
      </c>
      <c r="B7">
        <v>4</v>
      </c>
      <c r="C7" s="4">
        <f>C4*$B7</f>
        <v>4000</v>
      </c>
      <c r="D7" s="4">
        <f>D4*$B7</f>
        <v>20000</v>
      </c>
    </row>
    <row r="8" spans="1:4">
      <c r="A8" t="s">
        <v>38</v>
      </c>
      <c r="B8">
        <v>20</v>
      </c>
      <c r="C8" s="4">
        <f>C4*$B8</f>
        <v>20000</v>
      </c>
      <c r="D8" s="4">
        <f>D4*$B8</f>
        <v>100000</v>
      </c>
    </row>
    <row r="9" spans="1:4">
      <c r="A9" t="s">
        <v>90</v>
      </c>
      <c r="C9">
        <v>1.75</v>
      </c>
      <c r="D9">
        <v>2</v>
      </c>
    </row>
    <row r="10" spans="1:4">
      <c r="A10" t="s">
        <v>92</v>
      </c>
      <c r="C10" s="4">
        <f>C8*C9</f>
        <v>35000</v>
      </c>
      <c r="D10" s="4">
        <f>D8*D9</f>
        <v>200000</v>
      </c>
    </row>
  </sheetData>
  <mergeCells count="2">
    <mergeCell ref="C5:D5"/>
    <mergeCell ref="C3:D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BF24-690E-480A-A550-EDA8CDE0ADBA}">
  <dimension ref="A1:J16"/>
  <sheetViews>
    <sheetView workbookViewId="0">
      <selection activeCell="I3" sqref="I3"/>
    </sheetView>
  </sheetViews>
  <sheetFormatPr defaultRowHeight="15"/>
  <cols>
    <col min="1" max="1" width="58" bestFit="1" customWidth="1"/>
    <col min="2" max="2" width="8.85546875" style="5" bestFit="1" customWidth="1"/>
    <col min="3" max="3" width="18" style="5" bestFit="1" customWidth="1"/>
    <col min="4" max="4" width="26.140625" style="5" bestFit="1" customWidth="1"/>
    <col min="5" max="5" width="11.85546875" style="5" bestFit="1" customWidth="1"/>
    <col min="6" max="6" width="8.42578125" style="5" bestFit="1" customWidth="1"/>
    <col min="7" max="7" width="10.42578125" style="5" bestFit="1" customWidth="1"/>
    <col min="8" max="8" width="7" style="5" bestFit="1" customWidth="1"/>
    <col min="9" max="9" width="5.7109375" style="5" bestFit="1" customWidth="1"/>
    <col min="10" max="10" width="44.140625" customWidth="1"/>
  </cols>
  <sheetData>
    <row r="1" spans="1:10" ht="30">
      <c r="B1" s="24" t="s">
        <v>42</v>
      </c>
      <c r="C1" s="24"/>
      <c r="D1" s="5" t="s">
        <v>43</v>
      </c>
      <c r="E1" s="5" t="s">
        <v>58</v>
      </c>
      <c r="F1" s="13" t="s">
        <v>60</v>
      </c>
      <c r="G1" s="13"/>
      <c r="H1" s="5" t="s">
        <v>44</v>
      </c>
      <c r="I1" s="5" t="s">
        <v>45</v>
      </c>
    </row>
    <row r="2" spans="1:10">
      <c r="A2" t="s">
        <v>46</v>
      </c>
      <c r="B2" s="14">
        <v>50000</v>
      </c>
      <c r="C2" s="5" t="s">
        <v>55</v>
      </c>
      <c r="D2" s="5" t="s">
        <v>65</v>
      </c>
      <c r="E2" s="14">
        <v>2500</v>
      </c>
      <c r="F2" s="15">
        <v>1.5</v>
      </c>
      <c r="G2" s="5" t="s">
        <v>61</v>
      </c>
      <c r="H2" s="16">
        <f>B2/E2*F2</f>
        <v>30</v>
      </c>
      <c r="I2" s="14">
        <f>H2</f>
        <v>30</v>
      </c>
    </row>
    <row r="3" spans="1:10" ht="30">
      <c r="A3" s="30" t="s">
        <v>99</v>
      </c>
      <c r="B3" s="19">
        <v>85000</v>
      </c>
      <c r="C3" s="5" t="s">
        <v>51</v>
      </c>
      <c r="D3" s="13" t="s">
        <v>59</v>
      </c>
      <c r="E3" s="19">
        <v>9000</v>
      </c>
      <c r="F3" s="15">
        <v>1.5</v>
      </c>
      <c r="G3" s="5" t="s">
        <v>62</v>
      </c>
      <c r="H3" s="16">
        <f>(B3+B4)/E3*F3</f>
        <v>15.083333333333332</v>
      </c>
      <c r="I3" s="20">
        <v>16</v>
      </c>
    </row>
    <row r="4" spans="1:10">
      <c r="A4" s="30"/>
      <c r="B4" s="14">
        <v>5500</v>
      </c>
    </row>
    <row r="5" spans="1:10" ht="30">
      <c r="A5" s="28" t="s">
        <v>101</v>
      </c>
      <c r="B5" s="29">
        <f>B3*1.3</f>
        <v>110500</v>
      </c>
      <c r="C5" s="31" t="s">
        <v>51</v>
      </c>
      <c r="E5" s="19">
        <v>9000</v>
      </c>
      <c r="F5" s="36">
        <v>1.5</v>
      </c>
      <c r="G5" s="31" t="s">
        <v>62</v>
      </c>
      <c r="H5" s="37">
        <f>(B5+B6)/E5*F5</f>
        <v>19.25</v>
      </c>
      <c r="I5" s="20">
        <v>20</v>
      </c>
      <c r="J5" s="35" t="s">
        <v>102</v>
      </c>
    </row>
    <row r="6" spans="1:10">
      <c r="A6" s="30" t="s">
        <v>64</v>
      </c>
      <c r="B6" s="14">
        <v>5000</v>
      </c>
      <c r="C6" s="5" t="s">
        <v>52</v>
      </c>
      <c r="D6" s="5" t="s">
        <v>66</v>
      </c>
      <c r="E6" s="14">
        <v>800</v>
      </c>
      <c r="F6" s="15">
        <v>1.3</v>
      </c>
      <c r="G6" s="5" t="s">
        <v>63</v>
      </c>
      <c r="H6" s="16">
        <f>B6/E6*F6</f>
        <v>8.125</v>
      </c>
      <c r="I6" s="20" t="s">
        <v>100</v>
      </c>
    </row>
    <row r="7" spans="1:10">
      <c r="A7" s="30"/>
      <c r="B7" s="14">
        <v>3</v>
      </c>
      <c r="C7" s="5" t="s">
        <v>56</v>
      </c>
    </row>
    <row r="8" spans="1:10">
      <c r="A8" t="s">
        <v>47</v>
      </c>
      <c r="B8" s="14">
        <v>5000</v>
      </c>
      <c r="C8" s="5" t="s">
        <v>53</v>
      </c>
      <c r="D8" s="5" t="s">
        <v>67</v>
      </c>
      <c r="E8" s="14">
        <v>500</v>
      </c>
      <c r="F8" s="15">
        <v>1.2</v>
      </c>
      <c r="G8" s="5" t="s">
        <v>61</v>
      </c>
      <c r="H8" s="16">
        <f>B8/E8*F8</f>
        <v>12</v>
      </c>
      <c r="I8" s="5">
        <v>12</v>
      </c>
    </row>
    <row r="9" spans="1:10">
      <c r="A9" t="s">
        <v>48</v>
      </c>
      <c r="B9" s="14">
        <v>500</v>
      </c>
      <c r="C9" s="5" t="s">
        <v>54</v>
      </c>
      <c r="D9" s="5" t="s">
        <v>68</v>
      </c>
      <c r="E9" s="14">
        <v>200</v>
      </c>
      <c r="F9" s="15">
        <v>1.5</v>
      </c>
      <c r="G9" s="5" t="s">
        <v>61</v>
      </c>
      <c r="H9" s="16">
        <f>B9/E9*F9</f>
        <v>3.75</v>
      </c>
      <c r="I9" s="34">
        <v>4</v>
      </c>
    </row>
    <row r="10" spans="1:10">
      <c r="A10" s="25" t="s">
        <v>49</v>
      </c>
      <c r="B10" s="14">
        <v>5000</v>
      </c>
      <c r="C10" s="5" t="s">
        <v>55</v>
      </c>
      <c r="D10" s="5" t="s">
        <v>50</v>
      </c>
      <c r="E10" s="14">
        <v>1000</v>
      </c>
      <c r="F10" s="15">
        <v>1.3</v>
      </c>
      <c r="G10" s="5" t="s">
        <v>61</v>
      </c>
      <c r="H10" s="16">
        <f>B10/E10*F10</f>
        <v>6.5</v>
      </c>
      <c r="I10" s="34">
        <v>7</v>
      </c>
    </row>
    <row r="11" spans="1:10">
      <c r="A11" s="25"/>
      <c r="B11" s="14">
        <v>20</v>
      </c>
      <c r="C11" s="26" t="s">
        <v>57</v>
      </c>
      <c r="D11" s="26"/>
    </row>
    <row r="12" spans="1:10">
      <c r="A12" s="28" t="s">
        <v>104</v>
      </c>
    </row>
    <row r="13" spans="1:10">
      <c r="A13" s="28" t="s">
        <v>105</v>
      </c>
    </row>
    <row r="14" spans="1:10">
      <c r="A14" s="28" t="s">
        <v>106</v>
      </c>
    </row>
    <row r="15" spans="1:10">
      <c r="A15" s="28" t="s">
        <v>107</v>
      </c>
    </row>
    <row r="16" spans="1:10">
      <c r="A16" s="28" t="s">
        <v>108</v>
      </c>
    </row>
  </sheetData>
  <mergeCells count="3">
    <mergeCell ref="B1:C1"/>
    <mergeCell ref="A10:A11"/>
    <mergeCell ref="C11:D1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5A25-67AE-4582-B6E5-DF4CB5C7DF4D}">
  <dimension ref="A1:L22"/>
  <sheetViews>
    <sheetView tabSelected="1" workbookViewId="0">
      <selection activeCell="I25" sqref="I25"/>
    </sheetView>
  </sheetViews>
  <sheetFormatPr defaultRowHeight="15"/>
  <cols>
    <col min="1" max="1" width="37.140625" bestFit="1" customWidth="1"/>
    <col min="2" max="2" width="11.140625" bestFit="1" customWidth="1"/>
    <col min="3" max="3" width="9.42578125" bestFit="1" customWidth="1"/>
    <col min="4" max="4" width="9.42578125" customWidth="1"/>
    <col min="5" max="5" width="9.7109375" bestFit="1" customWidth="1"/>
    <col min="6" max="6" width="10.28515625" bestFit="1" customWidth="1"/>
    <col min="7" max="7" width="10.85546875" bestFit="1" customWidth="1"/>
    <col min="8" max="8" width="10" bestFit="1" customWidth="1"/>
    <col min="9" max="9" width="99.85546875" bestFit="1" customWidth="1"/>
    <col min="12" max="12" width="126.7109375" customWidth="1"/>
  </cols>
  <sheetData>
    <row r="1" spans="1:9">
      <c r="A1" t="s">
        <v>69</v>
      </c>
      <c r="B1" t="s">
        <v>70</v>
      </c>
      <c r="C1" t="s">
        <v>71</v>
      </c>
      <c r="D1" t="s">
        <v>86</v>
      </c>
      <c r="E1" t="s">
        <v>76</v>
      </c>
      <c r="F1" t="s">
        <v>72</v>
      </c>
      <c r="G1" t="s">
        <v>73</v>
      </c>
      <c r="H1" t="s">
        <v>87</v>
      </c>
    </row>
    <row r="2" spans="1:9">
      <c r="A2" t="s">
        <v>77</v>
      </c>
      <c r="B2">
        <v>2</v>
      </c>
      <c r="C2">
        <v>4</v>
      </c>
      <c r="D2" s="28">
        <v>0.05</v>
      </c>
      <c r="E2">
        <f>'Расчет параметров'!I2</f>
        <v>30</v>
      </c>
      <c r="F2">
        <f>B2*E2</f>
        <v>60</v>
      </c>
      <c r="G2">
        <f t="shared" ref="G2:G7" si="0">C2*E2</f>
        <v>120</v>
      </c>
      <c r="H2" s="28">
        <f t="shared" ref="H2:H14" si="1">D2*E2</f>
        <v>1.5</v>
      </c>
    </row>
    <row r="3" spans="1:9">
      <c r="A3" t="s">
        <v>78</v>
      </c>
      <c r="B3">
        <v>4</v>
      </c>
      <c r="C3">
        <v>8</v>
      </c>
      <c r="D3" s="28">
        <v>0.1</v>
      </c>
      <c r="E3">
        <f>'Расчет параметров'!I9</f>
        <v>4</v>
      </c>
      <c r="F3">
        <f t="shared" ref="F3:F10" si="2">B3*E3</f>
        <v>16</v>
      </c>
      <c r="G3">
        <f t="shared" si="0"/>
        <v>32</v>
      </c>
      <c r="H3" s="28">
        <f t="shared" si="1"/>
        <v>0.4</v>
      </c>
    </row>
    <row r="4" spans="1:9">
      <c r="A4" t="s">
        <v>79</v>
      </c>
      <c r="B4">
        <v>2</v>
      </c>
      <c r="C4">
        <v>4</v>
      </c>
      <c r="D4" s="28">
        <v>0.05</v>
      </c>
      <c r="E4">
        <v>6</v>
      </c>
      <c r="F4">
        <f t="shared" si="2"/>
        <v>12</v>
      </c>
      <c r="G4">
        <f t="shared" si="0"/>
        <v>24</v>
      </c>
      <c r="H4" s="28">
        <f t="shared" si="1"/>
        <v>0.30000000000000004</v>
      </c>
    </row>
    <row r="5" spans="1:9">
      <c r="A5" t="s">
        <v>47</v>
      </c>
      <c r="B5">
        <v>2</v>
      </c>
      <c r="C5">
        <v>4</v>
      </c>
      <c r="D5" s="28">
        <v>0.1</v>
      </c>
      <c r="E5">
        <f>'Расчет параметров'!I8</f>
        <v>12</v>
      </c>
      <c r="F5">
        <f t="shared" si="2"/>
        <v>24</v>
      </c>
      <c r="G5">
        <f t="shared" si="0"/>
        <v>48</v>
      </c>
      <c r="H5" s="28">
        <f t="shared" si="1"/>
        <v>1.2000000000000002</v>
      </c>
    </row>
    <row r="6" spans="1:9">
      <c r="A6" t="s">
        <v>49</v>
      </c>
      <c r="B6">
        <v>2</v>
      </c>
      <c r="C6">
        <v>4</v>
      </c>
      <c r="D6" s="28">
        <v>0.05</v>
      </c>
      <c r="E6">
        <f>'Расчет параметров'!I10</f>
        <v>7</v>
      </c>
      <c r="F6">
        <f t="shared" si="2"/>
        <v>14</v>
      </c>
      <c r="G6">
        <f t="shared" si="0"/>
        <v>28</v>
      </c>
      <c r="H6" s="28">
        <f t="shared" si="1"/>
        <v>0.35000000000000003</v>
      </c>
    </row>
    <row r="7" spans="1:9">
      <c r="A7" t="s">
        <v>80</v>
      </c>
      <c r="B7">
        <v>1</v>
      </c>
      <c r="C7">
        <v>2</v>
      </c>
      <c r="D7" s="28">
        <v>0.05</v>
      </c>
      <c r="E7">
        <v>12</v>
      </c>
      <c r="F7">
        <f t="shared" si="2"/>
        <v>12</v>
      </c>
      <c r="G7">
        <f t="shared" si="0"/>
        <v>24</v>
      </c>
      <c r="H7" s="28">
        <f t="shared" si="1"/>
        <v>0.60000000000000009</v>
      </c>
    </row>
    <row r="8" spans="1:9">
      <c r="A8" t="s">
        <v>81</v>
      </c>
      <c r="D8" s="28"/>
      <c r="H8" s="28"/>
    </row>
    <row r="9" spans="1:9">
      <c r="A9" s="18" t="s">
        <v>82</v>
      </c>
      <c r="B9">
        <v>4</v>
      </c>
      <c r="C9">
        <v>32</v>
      </c>
      <c r="D9" s="28">
        <v>0.2</v>
      </c>
      <c r="E9">
        <v>8</v>
      </c>
      <c r="F9">
        <f t="shared" si="2"/>
        <v>32</v>
      </c>
      <c r="G9">
        <f>C9*E9</f>
        <v>256</v>
      </c>
      <c r="H9" s="28">
        <f t="shared" si="1"/>
        <v>1.6</v>
      </c>
    </row>
    <row r="10" spans="1:9">
      <c r="A10" s="18" t="s">
        <v>83</v>
      </c>
      <c r="B10">
        <v>4</v>
      </c>
      <c r="C10">
        <v>64</v>
      </c>
      <c r="D10" s="28">
        <v>0.2</v>
      </c>
      <c r="E10">
        <v>8</v>
      </c>
      <c r="F10">
        <f t="shared" si="2"/>
        <v>32</v>
      </c>
      <c r="G10">
        <f>C10*E10</f>
        <v>512</v>
      </c>
      <c r="H10" s="28">
        <f t="shared" si="1"/>
        <v>1.6</v>
      </c>
    </row>
    <row r="11" spans="1:9">
      <c r="A11" t="s">
        <v>119</v>
      </c>
      <c r="D11" s="28"/>
      <c r="H11" s="28"/>
    </row>
    <row r="12" spans="1:9">
      <c r="A12" s="18" t="s">
        <v>84</v>
      </c>
      <c r="B12">
        <v>16</v>
      </c>
      <c r="C12">
        <v>64</v>
      </c>
      <c r="D12" s="28">
        <v>2</v>
      </c>
      <c r="E12">
        <v>1</v>
      </c>
      <c r="F12">
        <f t="shared" ref="F12" si="3">B12*E12</f>
        <v>16</v>
      </c>
      <c r="G12">
        <f>C12*E12</f>
        <v>64</v>
      </c>
      <c r="H12" s="28">
        <f t="shared" si="1"/>
        <v>2</v>
      </c>
      <c r="I12" s="28" t="s">
        <v>116</v>
      </c>
    </row>
    <row r="13" spans="1:9">
      <c r="A13" s="18" t="s">
        <v>83</v>
      </c>
      <c r="B13">
        <v>8</v>
      </c>
      <c r="C13">
        <v>32</v>
      </c>
      <c r="D13" s="28">
        <v>2</v>
      </c>
      <c r="E13">
        <v>3</v>
      </c>
      <c r="F13">
        <f t="shared" ref="F13" si="4">B13*E13</f>
        <v>24</v>
      </c>
      <c r="G13">
        <f>C13*E13</f>
        <v>96</v>
      </c>
      <c r="H13" s="28">
        <f t="shared" si="1"/>
        <v>6</v>
      </c>
    </row>
    <row r="14" spans="1:9">
      <c r="A14" s="18" t="s">
        <v>85</v>
      </c>
    </row>
    <row r="15" spans="1:9">
      <c r="A15" t="s">
        <v>115</v>
      </c>
      <c r="B15">
        <v>16</v>
      </c>
      <c r="C15">
        <v>32</v>
      </c>
      <c r="D15">
        <v>4</v>
      </c>
      <c r="E15" s="28">
        <v>6</v>
      </c>
      <c r="F15">
        <f t="shared" ref="F15" si="5">B15*E15</f>
        <v>96</v>
      </c>
      <c r="G15">
        <f>C15*E15</f>
        <v>192</v>
      </c>
      <c r="H15">
        <f>D15*E15</f>
        <v>24</v>
      </c>
      <c r="I15" s="28" t="s">
        <v>117</v>
      </c>
    </row>
    <row r="16" spans="1:9">
      <c r="A16" s="18" t="s">
        <v>88</v>
      </c>
      <c r="B16">
        <v>8</v>
      </c>
      <c r="C16">
        <v>16</v>
      </c>
      <c r="D16">
        <v>0.5</v>
      </c>
      <c r="E16">
        <v>3</v>
      </c>
      <c r="F16">
        <f t="shared" ref="F16" si="6">B16*E16</f>
        <v>24</v>
      </c>
      <c r="G16">
        <f>C16*E16</f>
        <v>48</v>
      </c>
      <c r="H16">
        <f>D16*E16</f>
        <v>1.5</v>
      </c>
    </row>
    <row r="17" spans="1:12">
      <c r="A17" s="18"/>
    </row>
    <row r="18" spans="1:12">
      <c r="A18" t="s">
        <v>74</v>
      </c>
      <c r="B18" s="18" t="s">
        <v>118</v>
      </c>
      <c r="C18" s="18" t="s">
        <v>118</v>
      </c>
      <c r="D18" s="18" t="s">
        <v>118</v>
      </c>
      <c r="E18" s="18" t="s">
        <v>118</v>
      </c>
      <c r="F18" s="28">
        <f>SUM(F2:F17)</f>
        <v>362</v>
      </c>
      <c r="G18" s="28">
        <f>SUM(G2:G17)</f>
        <v>1444</v>
      </c>
      <c r="H18" s="38">
        <f>SUM(H2:H17)</f>
        <v>41.05</v>
      </c>
    </row>
    <row r="19" spans="1:12">
      <c r="A19" t="s">
        <v>75</v>
      </c>
      <c r="B19" s="18" t="s">
        <v>118</v>
      </c>
      <c r="C19" s="18" t="s">
        <v>118</v>
      </c>
      <c r="D19" s="18" t="s">
        <v>118</v>
      </c>
      <c r="E19" s="18" t="s">
        <v>118</v>
      </c>
      <c r="F19" s="28">
        <f>ROUNDUP(F18*1.3,0)</f>
        <v>471</v>
      </c>
      <c r="G19" s="28">
        <f>ROUNDUP(G18*1.3,0)</f>
        <v>1878</v>
      </c>
      <c r="H19" s="28">
        <f>ROUNDUP(H18*1.3,0)</f>
        <v>54</v>
      </c>
    </row>
    <row r="22" spans="1:12" ht="16.5">
      <c r="L22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Нагрузка по категориям</vt:lpstr>
      <vt:lpstr>Redis</vt:lpstr>
      <vt:lpstr>PgSQL</vt:lpstr>
      <vt:lpstr>Kafka</vt:lpstr>
      <vt:lpstr>OLTP</vt:lpstr>
      <vt:lpstr>Гео-поиск</vt:lpstr>
      <vt:lpstr>Расчет параметров</vt:lpstr>
      <vt:lpstr>Расчет ресурсов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Феоктистов</dc:creator>
  <cp:lastModifiedBy>Константин Феоктистов</cp:lastModifiedBy>
  <dcterms:created xsi:type="dcterms:W3CDTF">2026-04-12T14:53:53Z</dcterms:created>
  <dcterms:modified xsi:type="dcterms:W3CDTF">2026-04-22T23:22:30Z</dcterms:modified>
</cp:coreProperties>
</file>